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ac052b8f808cd61/Documents/personal_training_project/"/>
    </mc:Choice>
  </mc:AlternateContent>
  <xr:revisionPtr revIDLastSave="486" documentId="8_{1013219F-CB75-42B2-AD47-0E88AE217D13}" xr6:coauthVersionLast="47" xr6:coauthVersionMax="47" xr10:uidLastSave="{129AAA56-30DC-40F3-A612-07F6DA572694}"/>
  <bookViews>
    <workbookView xWindow="2232" yWindow="2232" windowWidth="17280" windowHeight="8880" activeTab="1" xr2:uid="{478DF84F-DA23-4C16-99AA-413431AB14D5}"/>
  </bookViews>
  <sheets>
    <sheet name="Sheet1" sheetId="1" r:id="rId1"/>
    <sheet name="Clean_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2" l="1"/>
  <c r="I19" i="2" s="1"/>
  <c r="J19" i="2" s="1"/>
  <c r="E19" i="2"/>
  <c r="L19" i="2" s="1"/>
  <c r="H18" i="2"/>
  <c r="I18" i="2" s="1"/>
  <c r="J18" i="2" s="1"/>
  <c r="E18" i="2"/>
  <c r="F18" i="2" s="1"/>
  <c r="H17" i="2"/>
  <c r="I17" i="2" s="1"/>
  <c r="J17" i="2" s="1"/>
  <c r="K17" i="2" s="1"/>
  <c r="E17" i="2"/>
  <c r="L17" i="2" s="1"/>
  <c r="H16" i="2"/>
  <c r="I16" i="2" s="1"/>
  <c r="J16" i="2" s="1"/>
  <c r="E16" i="2"/>
  <c r="L16" i="2" s="1"/>
  <c r="H15" i="2"/>
  <c r="I15" i="2" s="1"/>
  <c r="J15" i="2" s="1"/>
  <c r="K15" i="2" s="1"/>
  <c r="E15" i="2"/>
  <c r="L15" i="2" s="1"/>
  <c r="H14" i="2"/>
  <c r="I14" i="2" s="1"/>
  <c r="J14" i="2" s="1"/>
  <c r="E14" i="2"/>
  <c r="F14" i="2" s="1"/>
  <c r="H13" i="2"/>
  <c r="I13" i="2" s="1"/>
  <c r="J13" i="2" s="1"/>
  <c r="E13" i="2"/>
  <c r="L13" i="2" s="1"/>
  <c r="H12" i="2"/>
  <c r="I12" i="2" s="1"/>
  <c r="J12" i="2" s="1"/>
  <c r="E12" i="2"/>
  <c r="F12" i="2" s="1"/>
  <c r="H11" i="2"/>
  <c r="I11" i="2" s="1"/>
  <c r="J11" i="2" s="1"/>
  <c r="E11" i="2"/>
  <c r="L11" i="2" s="1"/>
  <c r="H10" i="2"/>
  <c r="I10" i="2" s="1"/>
  <c r="J10" i="2" s="1"/>
  <c r="E10" i="2"/>
  <c r="L10" i="2" s="1"/>
  <c r="H9" i="2"/>
  <c r="I9" i="2" s="1"/>
  <c r="J9" i="2" s="1"/>
  <c r="E9" i="2"/>
  <c r="L9" i="2" s="1"/>
  <c r="H8" i="2"/>
  <c r="I8" i="2" s="1"/>
  <c r="J8" i="2" s="1"/>
  <c r="K8" i="2" s="1"/>
  <c r="E8" i="2"/>
  <c r="F8" i="2" s="1"/>
  <c r="H7" i="2"/>
  <c r="I7" i="2" s="1"/>
  <c r="J7" i="2" s="1"/>
  <c r="E7" i="2"/>
  <c r="L7" i="2" s="1"/>
  <c r="H6" i="2"/>
  <c r="I6" i="2" s="1"/>
  <c r="J6" i="2" s="1"/>
  <c r="E6" i="2"/>
  <c r="F6" i="2" s="1"/>
  <c r="H5" i="2"/>
  <c r="I5" i="2" s="1"/>
  <c r="J5" i="2" s="1"/>
  <c r="E5" i="2"/>
  <c r="L5" i="2" s="1"/>
  <c r="H4" i="2"/>
  <c r="I4" i="2" s="1"/>
  <c r="J4" i="2" s="1"/>
  <c r="E4" i="2"/>
  <c r="L4" i="2" s="1"/>
  <c r="H3" i="2"/>
  <c r="I3" i="2" s="1"/>
  <c r="J3" i="2" s="1"/>
  <c r="E3" i="2"/>
  <c r="L3" i="2" s="1"/>
  <c r="H2" i="2"/>
  <c r="I2" i="2" s="1"/>
  <c r="J2" i="2" s="1"/>
  <c r="E2" i="2"/>
  <c r="F2" i="2" s="1"/>
  <c r="F24" i="1"/>
  <c r="F22" i="1"/>
  <c r="F23" i="1"/>
  <c r="L51" i="1"/>
  <c r="L50" i="1"/>
  <c r="H62" i="1"/>
  <c r="I62" i="1" s="1"/>
  <c r="J62" i="1" s="1"/>
  <c r="E62" i="1"/>
  <c r="F62" i="1" s="1"/>
  <c r="H52" i="1"/>
  <c r="I52" i="1" s="1"/>
  <c r="J52" i="1" s="1"/>
  <c r="E52" i="1"/>
  <c r="F52" i="1" s="1"/>
  <c r="H49" i="1"/>
  <c r="I49" i="1" s="1"/>
  <c r="J49" i="1" s="1"/>
  <c r="E49" i="1"/>
  <c r="F49" i="1" s="1"/>
  <c r="H65" i="1"/>
  <c r="I65" i="1" s="1"/>
  <c r="J65" i="1" s="1"/>
  <c r="E65" i="1"/>
  <c r="F65" i="1" s="1"/>
  <c r="H64" i="1"/>
  <c r="I64" i="1" s="1"/>
  <c r="J64" i="1" s="1"/>
  <c r="E64" i="1"/>
  <c r="F64" i="1" s="1"/>
  <c r="H54" i="1"/>
  <c r="I54" i="1" s="1"/>
  <c r="J54" i="1" s="1"/>
  <c r="E54" i="1"/>
  <c r="F54" i="1" s="1"/>
  <c r="H59" i="1"/>
  <c r="I59" i="1" s="1"/>
  <c r="J59" i="1" s="1"/>
  <c r="E59" i="1"/>
  <c r="F59" i="1" s="1"/>
  <c r="H50" i="1"/>
  <c r="I50" i="1" s="1"/>
  <c r="J50" i="1" s="1"/>
  <c r="E50" i="1"/>
  <c r="F50" i="1" s="1"/>
  <c r="H60" i="1"/>
  <c r="I60" i="1" s="1"/>
  <c r="J60" i="1" s="1"/>
  <c r="E60" i="1"/>
  <c r="F60" i="1" s="1"/>
  <c r="H66" i="1"/>
  <c r="I66" i="1" s="1"/>
  <c r="J66" i="1" s="1"/>
  <c r="E66" i="1"/>
  <c r="F66" i="1" s="1"/>
  <c r="H61" i="1"/>
  <c r="I61" i="1" s="1"/>
  <c r="J61" i="1" s="1"/>
  <c r="E61" i="1"/>
  <c r="F61" i="1" s="1"/>
  <c r="H56" i="1"/>
  <c r="I56" i="1" s="1"/>
  <c r="J56" i="1" s="1"/>
  <c r="E56" i="1"/>
  <c r="F56" i="1" s="1"/>
  <c r="H55" i="1"/>
  <c r="I55" i="1" s="1"/>
  <c r="J55" i="1" s="1"/>
  <c r="E55" i="1"/>
  <c r="F55" i="1" s="1"/>
  <c r="H58" i="1"/>
  <c r="I58" i="1" s="1"/>
  <c r="J58" i="1" s="1"/>
  <c r="E58" i="1"/>
  <c r="F58" i="1" s="1"/>
  <c r="H57" i="1"/>
  <c r="I57" i="1" s="1"/>
  <c r="J57" i="1" s="1"/>
  <c r="E57" i="1"/>
  <c r="F57" i="1" s="1"/>
  <c r="H63" i="1"/>
  <c r="I63" i="1" s="1"/>
  <c r="J63" i="1" s="1"/>
  <c r="E63" i="1"/>
  <c r="F63" i="1" s="1"/>
  <c r="H51" i="1"/>
  <c r="I51" i="1" s="1"/>
  <c r="J51" i="1" s="1"/>
  <c r="E51" i="1"/>
  <c r="F51" i="1" s="1"/>
  <c r="H53" i="1"/>
  <c r="I53" i="1" s="1"/>
  <c r="J53" i="1" s="1"/>
  <c r="E53" i="1"/>
  <c r="F53" i="1" s="1"/>
  <c r="N9" i="1"/>
  <c r="N7" i="1"/>
  <c r="N5" i="1"/>
  <c r="N3" i="1"/>
  <c r="H12" i="1"/>
  <c r="I12" i="1" s="1"/>
  <c r="J12" i="1" s="1"/>
  <c r="H3" i="1"/>
  <c r="I3" i="1" s="1"/>
  <c r="J3" i="1" s="1"/>
  <c r="H18" i="1"/>
  <c r="I18" i="1" s="1"/>
  <c r="J18" i="1" s="1"/>
  <c r="H2" i="1"/>
  <c r="I2" i="1" s="1"/>
  <c r="J2" i="1" s="1"/>
  <c r="Z3" i="1" s="1"/>
  <c r="H14" i="1"/>
  <c r="I14" i="1" s="1"/>
  <c r="J14" i="1" s="1"/>
  <c r="H7" i="1"/>
  <c r="I7" i="1" s="1"/>
  <c r="J7" i="1" s="1"/>
  <c r="H8" i="1"/>
  <c r="I8" i="1" s="1"/>
  <c r="J8" i="1" s="1"/>
  <c r="H5" i="1"/>
  <c r="H6" i="1"/>
  <c r="I6" i="1" s="1"/>
  <c r="J6" i="1" s="1"/>
  <c r="H13" i="1"/>
  <c r="I13" i="1" s="1"/>
  <c r="J13" i="1" s="1"/>
  <c r="H11" i="1"/>
  <c r="I11" i="1" s="1"/>
  <c r="J11" i="1" s="1"/>
  <c r="H19" i="1"/>
  <c r="I19" i="1" s="1"/>
  <c r="J19" i="1" s="1"/>
  <c r="H9" i="1"/>
  <c r="I9" i="1" s="1"/>
  <c r="J9" i="1" s="1"/>
  <c r="H4" i="1"/>
  <c r="I4" i="1" s="1"/>
  <c r="J4" i="1" s="1"/>
  <c r="H15" i="1"/>
  <c r="I15" i="1" s="1"/>
  <c r="J15" i="1" s="1"/>
  <c r="H16" i="1"/>
  <c r="I16" i="1" s="1"/>
  <c r="J16" i="1" s="1"/>
  <c r="H10" i="1"/>
  <c r="I10" i="1" s="1"/>
  <c r="J10" i="1" s="1"/>
  <c r="H17" i="1"/>
  <c r="I17" i="1" s="1"/>
  <c r="J17" i="1" s="1"/>
  <c r="I5" i="1"/>
  <c r="J5" i="1" s="1"/>
  <c r="E5" i="1"/>
  <c r="F5" i="1" s="1"/>
  <c r="E13" i="1"/>
  <c r="F13" i="1" s="1"/>
  <c r="E15" i="1"/>
  <c r="F15" i="1" s="1"/>
  <c r="E11" i="1"/>
  <c r="F11" i="1" s="1"/>
  <c r="E12" i="1"/>
  <c r="F12" i="1" s="1"/>
  <c r="E4" i="1"/>
  <c r="F4" i="1" s="1"/>
  <c r="E8" i="1"/>
  <c r="F8" i="1" s="1"/>
  <c r="E18" i="1"/>
  <c r="F18" i="1" s="1"/>
  <c r="E6" i="1"/>
  <c r="F6" i="1" s="1"/>
  <c r="E16" i="1"/>
  <c r="F16" i="1" s="1"/>
  <c r="E3" i="1"/>
  <c r="L3" i="1" s="1"/>
  <c r="E19" i="1"/>
  <c r="F19" i="1" s="1"/>
  <c r="E9" i="1"/>
  <c r="F9" i="1" s="1"/>
  <c r="E10" i="1"/>
  <c r="F10" i="1" s="1"/>
  <c r="E14" i="1"/>
  <c r="F14" i="1" s="1"/>
  <c r="E17" i="1"/>
  <c r="F17" i="1" s="1"/>
  <c r="E7" i="1"/>
  <c r="F7" i="1" s="1"/>
  <c r="E2" i="1"/>
  <c r="F2" i="1" s="1"/>
  <c r="K6" i="2" l="1"/>
  <c r="K13" i="2"/>
  <c r="K7" i="2"/>
  <c r="K14" i="2"/>
  <c r="K2" i="2"/>
  <c r="K9" i="2"/>
  <c r="K16" i="2"/>
  <c r="K3" i="2"/>
  <c r="K10" i="2"/>
  <c r="K4" i="2"/>
  <c r="K11" i="2"/>
  <c r="K18" i="2"/>
  <c r="K5" i="2"/>
  <c r="K12" i="2"/>
  <c r="K19" i="2"/>
  <c r="F4" i="2"/>
  <c r="F10" i="2"/>
  <c r="F16" i="2"/>
  <c r="L2" i="2"/>
  <c r="L6" i="2"/>
  <c r="L8" i="2"/>
  <c r="L12" i="2"/>
  <c r="L14" i="2"/>
  <c r="L18" i="2"/>
  <c r="F3" i="2"/>
  <c r="F5" i="2"/>
  <c r="F7" i="2"/>
  <c r="F9" i="2"/>
  <c r="F11" i="2"/>
  <c r="F13" i="2"/>
  <c r="F15" i="2"/>
  <c r="F17" i="2"/>
  <c r="F19" i="2"/>
  <c r="O7" i="1"/>
  <c r="R7" i="1" s="1"/>
  <c r="O9" i="1"/>
  <c r="R6" i="1" s="1"/>
  <c r="O3" i="1"/>
  <c r="R4" i="1" s="1"/>
  <c r="O5" i="1"/>
  <c r="R5" i="1" s="1"/>
  <c r="K3" i="1"/>
  <c r="L9" i="1"/>
  <c r="L11" i="1"/>
  <c r="L5" i="1"/>
  <c r="K10" i="1"/>
  <c r="L15" i="1"/>
  <c r="L4" i="1"/>
  <c r="L13" i="1"/>
  <c r="L14" i="1"/>
  <c r="L12" i="1"/>
  <c r="K18" i="1"/>
  <c r="K16" i="1"/>
  <c r="K15" i="1"/>
  <c r="K12" i="1"/>
  <c r="K4" i="1"/>
  <c r="K8" i="1"/>
  <c r="K9" i="1"/>
  <c r="K7" i="1"/>
  <c r="K19" i="1"/>
  <c r="K2" i="1"/>
  <c r="K11" i="1"/>
  <c r="K17" i="1"/>
  <c r="K13" i="1"/>
  <c r="K14" i="1"/>
  <c r="K6" i="1"/>
  <c r="K5" i="1"/>
  <c r="L19" i="1"/>
  <c r="L10" i="1"/>
  <c r="L18" i="1"/>
  <c r="L6" i="1"/>
  <c r="L8" i="1"/>
  <c r="L7" i="1"/>
  <c r="L17" i="1"/>
  <c r="L2" i="1"/>
  <c r="F3" i="1"/>
  <c r="L16" i="1"/>
  <c r="AA6" i="1" l="1"/>
  <c r="AA4" i="1"/>
  <c r="AA5" i="1" s="1"/>
</calcChain>
</file>

<file path=xl/sharedStrings.xml><?xml version="1.0" encoding="utf-8"?>
<sst xmlns="http://schemas.openxmlformats.org/spreadsheetml/2006/main" count="272" uniqueCount="76">
  <si>
    <t>client_id</t>
  </si>
  <si>
    <t>service_type</t>
  </si>
  <si>
    <t>ideal_hours_month</t>
  </si>
  <si>
    <t>hours_nov_jan</t>
  </si>
  <si>
    <t>C001</t>
  </si>
  <si>
    <t>C004</t>
  </si>
  <si>
    <t>C013</t>
  </si>
  <si>
    <t>LIFT</t>
  </si>
  <si>
    <t xml:space="preserve">expected_hours_3mo </t>
  </si>
  <si>
    <t>utilization</t>
  </si>
  <si>
    <t>twice</t>
  </si>
  <si>
    <t>once</t>
  </si>
  <si>
    <t>30_60</t>
  </si>
  <si>
    <t>hour</t>
  </si>
  <si>
    <t>thirty</t>
  </si>
  <si>
    <t>session_rate</t>
  </si>
  <si>
    <t>revenue_nov_jan</t>
  </si>
  <si>
    <t>avg_monthly_revenue</t>
  </si>
  <si>
    <t>revenue_share_pct</t>
  </si>
  <si>
    <t>hours_gap</t>
  </si>
  <si>
    <t>missing hours 3mo:</t>
  </si>
  <si>
    <t>avg missing hours:</t>
  </si>
  <si>
    <t>client_segment</t>
  </si>
  <si>
    <t>Anchor</t>
  </si>
  <si>
    <t>Opportunity</t>
  </si>
  <si>
    <t>Low impact</t>
  </si>
  <si>
    <t>Steady</t>
  </si>
  <si>
    <t>client_count_segment</t>
  </si>
  <si>
    <t>Anchor:</t>
  </si>
  <si>
    <t>Opportunity:</t>
  </si>
  <si>
    <t>Low impact:</t>
  </si>
  <si>
    <t>Steady:</t>
  </si>
  <si>
    <t>revenue_segment</t>
  </si>
  <si>
    <t>Segment</t>
  </si>
  <si>
    <t>Revenue</t>
  </si>
  <si>
    <t>Client_id</t>
  </si>
  <si>
    <t xml:space="preserve">C008 </t>
  </si>
  <si>
    <t xml:space="preserve">C003 </t>
  </si>
  <si>
    <t xml:space="preserve">C011 </t>
  </si>
  <si>
    <t xml:space="preserve">C002 </t>
  </si>
  <si>
    <t xml:space="preserve">C009 </t>
  </si>
  <si>
    <t xml:space="preserve">C015 </t>
  </si>
  <si>
    <t xml:space="preserve">C016 </t>
  </si>
  <si>
    <t xml:space="preserve">C006 </t>
  </si>
  <si>
    <t xml:space="preserve">C007 </t>
  </si>
  <si>
    <t xml:space="preserve">C017 </t>
  </si>
  <si>
    <t xml:space="preserve">C005 </t>
  </si>
  <si>
    <t xml:space="preserve">C012 </t>
  </si>
  <si>
    <t>avg_monthly_revenue_tot:</t>
  </si>
  <si>
    <t>rev_opp_per_month:</t>
  </si>
  <si>
    <t>top_3_clients</t>
  </si>
  <si>
    <t>C001, C013, C008</t>
  </si>
  <si>
    <t>Group</t>
  </si>
  <si>
    <t>Avg Monthly Revenue</t>
  </si>
  <si>
    <t>Utilization</t>
  </si>
  <si>
    <t># Clients</t>
  </si>
  <si>
    <t>&lt;60%</t>
  </si>
  <si>
    <t>60-80%</t>
  </si>
  <si>
    <t>top_3</t>
  </si>
  <si>
    <t>everyone_else</t>
  </si>
  <si>
    <t>≥ 80%</t>
  </si>
  <si>
    <t xml:space="preserve">C013 </t>
  </si>
  <si>
    <t>C008</t>
  </si>
  <si>
    <t>C003</t>
  </si>
  <si>
    <t>C009</t>
  </si>
  <si>
    <t>C015</t>
  </si>
  <si>
    <t>C016</t>
  </si>
  <si>
    <t>C006</t>
  </si>
  <si>
    <t>C007</t>
  </si>
  <si>
    <t>C005</t>
  </si>
  <si>
    <t>C012</t>
  </si>
  <si>
    <t>C010</t>
  </si>
  <si>
    <t>C014</t>
  </si>
  <si>
    <t>C017</t>
  </si>
  <si>
    <t>C002</t>
  </si>
  <si>
    <t>C011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</si>
</sst>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9" fontId="0" fillId="0" borderId="0" xfId="2" applyFont="1"/>
    <xf numFmtId="0" fontId="3" fillId="0" borderId="0" xfId="0" applyFont="1"/>
    <xf numFmtId="0" fontId="3" fillId="0" borderId="0" xfId="0" applyFont="1" applyAlignment="1">
      <alignment horizontal="right"/>
    </xf>
    <xf numFmtId="44" fontId="0" fillId="0" borderId="0" xfId="1" applyFont="1"/>
    <xf numFmtId="44" fontId="0" fillId="0" borderId="0" xfId="0" applyNumberFormat="1"/>
    <xf numFmtId="9" fontId="0" fillId="0" borderId="0" xfId="2" applyFont="1" applyBorder="1"/>
    <xf numFmtId="0" fontId="0" fillId="0" borderId="0" xfId="2" applyNumberFormat="1" applyFont="1"/>
  </cellXfs>
  <cellStyles count="3">
    <cellStyle name="Currency" xfId="1" builtinId="4"/>
    <cellStyle name="Normal" xfId="0" builtinId="0"/>
    <cellStyle name="Percent" xfId="2" builtinId="5"/>
  </cellStyles>
  <dxfs count="1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theme="4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theme="4" tint="0.39994506668294322"/>
        </patternFill>
      </fill>
    </dxf>
    <dxf>
      <numFmt numFmtId="0" formatCode="General"/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Monthly Revenue by Client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Sheet1!$R$3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DD7-496E-B63B-79E60860708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DD7-496E-B63B-79E60860708C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DD7-496E-B63B-79E60860708C}"/>
              </c:ext>
            </c:extLst>
          </c:dPt>
          <c:dPt>
            <c:idx val="3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FDD7-496E-B63B-79E60860708C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Sheet1!$Q$4:$Q$7</c:f>
              <c:strCache>
                <c:ptCount val="4"/>
                <c:pt idx="0">
                  <c:v>Anchor</c:v>
                </c:pt>
                <c:pt idx="1">
                  <c:v>Opportunity</c:v>
                </c:pt>
                <c:pt idx="2">
                  <c:v>Steady</c:v>
                </c:pt>
                <c:pt idx="3">
                  <c:v>Low impact</c:v>
                </c:pt>
              </c:strCache>
            </c:strRef>
          </c:cat>
          <c:val>
            <c:numRef>
              <c:f>Sheet1!$R$4:$R$7</c:f>
              <c:numCache>
                <c:formatCode>_("$"* #,##0.00_);_("$"* \(#,##0.00\);_("$"* "-"??_);_(@_)</c:formatCode>
                <c:ptCount val="4"/>
                <c:pt idx="0">
                  <c:v>1529.2500000000002</c:v>
                </c:pt>
                <c:pt idx="1">
                  <c:v>1398.375</c:v>
                </c:pt>
                <c:pt idx="2">
                  <c:v>225</c:v>
                </c:pt>
                <c:pt idx="3">
                  <c:v>140.625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D7-496E-B63B-79E6086070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5365904"/>
        <c:axId val="715366384"/>
      </c:barChart>
      <c:catAx>
        <c:axId val="715365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366384"/>
        <c:crosses val="autoZero"/>
        <c:auto val="1"/>
        <c:lblAlgn val="ctr"/>
        <c:lblOffset val="100"/>
        <c:noMultiLvlLbl val="0"/>
      </c:catAx>
      <c:valAx>
        <c:axId val="71536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365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Unrealized Training Hours by Client (3 Months)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Sheet1!$X$2</c:f>
              <c:strCache>
                <c:ptCount val="1"/>
                <c:pt idx="0">
                  <c:v>hours_gap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Sheet1!$W$3:$W$17</c:f>
              <c:strCache>
                <c:ptCount val="15"/>
                <c:pt idx="0">
                  <c:v>C001</c:v>
                </c:pt>
                <c:pt idx="1">
                  <c:v>C013</c:v>
                </c:pt>
                <c:pt idx="2">
                  <c:v>C008 </c:v>
                </c:pt>
                <c:pt idx="3">
                  <c:v>C003 </c:v>
                </c:pt>
                <c:pt idx="4">
                  <c:v>C011 </c:v>
                </c:pt>
                <c:pt idx="5">
                  <c:v>C002 </c:v>
                </c:pt>
                <c:pt idx="6">
                  <c:v>C009 </c:v>
                </c:pt>
                <c:pt idx="7">
                  <c:v>C015 </c:v>
                </c:pt>
                <c:pt idx="8">
                  <c:v>C016 </c:v>
                </c:pt>
                <c:pt idx="9">
                  <c:v>C006 </c:v>
                </c:pt>
                <c:pt idx="10">
                  <c:v>C007 </c:v>
                </c:pt>
                <c:pt idx="11">
                  <c:v>C004</c:v>
                </c:pt>
                <c:pt idx="12">
                  <c:v>C017 </c:v>
                </c:pt>
                <c:pt idx="13">
                  <c:v>C005 </c:v>
                </c:pt>
                <c:pt idx="14">
                  <c:v>C012 </c:v>
                </c:pt>
              </c:strCache>
            </c:strRef>
          </c:cat>
          <c:val>
            <c:numRef>
              <c:f>Sheet1!$X$3:$X$17</c:f>
              <c:numCache>
                <c:formatCode>General</c:formatCode>
                <c:ptCount val="15"/>
                <c:pt idx="0">
                  <c:v>13</c:v>
                </c:pt>
                <c:pt idx="1">
                  <c:v>7</c:v>
                </c:pt>
                <c:pt idx="2">
                  <c:v>5.5</c:v>
                </c:pt>
                <c:pt idx="3">
                  <c:v>5</c:v>
                </c:pt>
                <c:pt idx="4">
                  <c:v>5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2.5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9C-45DB-A4EF-F8D471D54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32735920"/>
        <c:axId val="1132736400"/>
      </c:barChart>
      <c:catAx>
        <c:axId val="1132735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736400"/>
        <c:crosses val="autoZero"/>
        <c:auto val="1"/>
        <c:lblAlgn val="ctr"/>
        <c:lblOffset val="100"/>
        <c:noMultiLvlLbl val="0"/>
      </c:catAx>
      <c:valAx>
        <c:axId val="113273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735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Concentration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Sheet1!$L$49</c:f>
              <c:strCache>
                <c:ptCount val="1"/>
                <c:pt idx="0">
                  <c:v> Avg Monthly Revenue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88E-4D5F-957B-8EE514EFDA5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88E-4D5F-957B-8EE514EFDA57}"/>
              </c:ext>
            </c:extLst>
          </c:dPt>
          <c:cat>
            <c:strRef>
              <c:f>Sheet1!$K$50:$K$51</c:f>
              <c:strCache>
                <c:ptCount val="2"/>
                <c:pt idx="0">
                  <c:v>top_3</c:v>
                </c:pt>
                <c:pt idx="1">
                  <c:v>everyone_else</c:v>
                </c:pt>
              </c:strCache>
            </c:strRef>
          </c:cat>
          <c:val>
            <c:numRef>
              <c:f>Sheet1!$L$50:$L$51</c:f>
              <c:numCache>
                <c:formatCode>_("$"* #,##0.00_);_("$"* \(#,##0.00\);_("$"* "-"??_);_(@_)</c:formatCode>
                <c:ptCount val="2"/>
                <c:pt idx="0">
                  <c:v>1285.2</c:v>
                </c:pt>
                <c:pt idx="1">
                  <c:v>2008.0500000000004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E9-4D5A-8280-EBF26D4DA9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Client Utilization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Sheet1!$F$21</c:f>
              <c:strCache>
                <c:ptCount val="1"/>
                <c:pt idx="0">
                  <c:v># Clients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Sheet1!$E$22:$E$24</c:f>
              <c:strCache>
                <c:ptCount val="3"/>
                <c:pt idx="0">
                  <c:v>&lt;60%</c:v>
                </c:pt>
                <c:pt idx="1">
                  <c:v>60-80%</c:v>
                </c:pt>
                <c:pt idx="2">
                  <c:v>≥ 80%</c:v>
                </c:pt>
              </c:strCache>
            </c:strRef>
          </c:cat>
          <c:val>
            <c:numRef>
              <c:f>Sheet1!$F$22:$F$24</c:f>
              <c:numCache>
                <c:formatCode>General</c:formatCode>
                <c:ptCount val="3"/>
                <c:pt idx="0">
                  <c:v>5</c:v>
                </c:pt>
                <c:pt idx="1">
                  <c:v>5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E4-4D09-802A-D9660E749D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4537055"/>
        <c:axId val="1184538015"/>
      </c:barChart>
      <c:catAx>
        <c:axId val="1184537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538015"/>
        <c:crosses val="autoZero"/>
        <c:auto val="1"/>
        <c:lblAlgn val="ctr"/>
        <c:lblOffset val="100"/>
        <c:noMultiLvlLbl val="0"/>
      </c:catAx>
      <c:valAx>
        <c:axId val="1184538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537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654144</xdr:colOff>
      <xdr:row>27</xdr:row>
      <xdr:rowOff>32936</xdr:rowOff>
    </xdr:from>
    <xdr:to>
      <xdr:col>11</xdr:col>
      <xdr:colOff>520590</xdr:colOff>
      <xdr:row>30</xdr:row>
      <xdr:rowOff>179622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C1FBD3D-9758-CBD4-9AFE-816C8768EDC7}"/>
            </a:ext>
          </a:extLst>
        </xdr:cNvPr>
        <xdr:cNvSpPr txBox="1"/>
      </xdr:nvSpPr>
      <xdr:spPr>
        <a:xfrm>
          <a:off x="8135599" y="4895881"/>
          <a:ext cx="3323155" cy="68701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Client</a:t>
          </a:r>
          <a:r>
            <a:rPr lang="en-US" sz="1100" baseline="0"/>
            <a:t> underutilization represents an estimated 19 hours per month of unrealized capacity, corresponding to approximately $1.1k monthly revenue opportunity</a:t>
          </a:r>
          <a:endParaRPr lang="en-US" sz="1100"/>
        </a:p>
      </xdr:txBody>
    </xdr:sp>
    <xdr:clientData/>
  </xdr:twoCellAnchor>
  <xdr:twoCellAnchor>
    <xdr:from>
      <xdr:col>12</xdr:col>
      <xdr:colOff>88777</xdr:colOff>
      <xdr:row>20</xdr:row>
      <xdr:rowOff>29592</xdr:rowOff>
    </xdr:from>
    <xdr:to>
      <xdr:col>15</xdr:col>
      <xdr:colOff>0</xdr:colOff>
      <xdr:row>25</xdr:row>
      <xdr:rowOff>155360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106208E-4725-9F22-4750-931569D0BC97}"/>
            </a:ext>
          </a:extLst>
        </xdr:cNvPr>
        <xdr:cNvSpPr txBox="1"/>
      </xdr:nvSpPr>
      <xdr:spPr>
        <a:xfrm>
          <a:off x="11629748" y="3728621"/>
          <a:ext cx="3262543" cy="1050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Opportunity clients contribute</a:t>
          </a:r>
          <a:r>
            <a:rPr lang="en-US" sz="1100" baseline="0"/>
            <a:t> revenue comparablel to anchor clients but exhibit lower utilization, representing the primary pathway for revenue expansion without additional client acquisition</a:t>
          </a:r>
          <a:endParaRPr lang="en-US" sz="1100"/>
        </a:p>
      </xdr:txBody>
    </xdr:sp>
    <xdr:clientData/>
  </xdr:twoCellAnchor>
  <xdr:twoCellAnchor>
    <xdr:from>
      <xdr:col>15</xdr:col>
      <xdr:colOff>85079</xdr:colOff>
      <xdr:row>9</xdr:row>
      <xdr:rowOff>22193</xdr:rowOff>
    </xdr:from>
    <xdr:to>
      <xdr:col>20</xdr:col>
      <xdr:colOff>540059</xdr:colOff>
      <xdr:row>20</xdr:row>
      <xdr:rowOff>32550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517BD3E-CACF-D6D3-3BF0-085180F39B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599208</xdr:colOff>
      <xdr:row>21</xdr:row>
      <xdr:rowOff>31174</xdr:rowOff>
    </xdr:from>
    <xdr:to>
      <xdr:col>27</xdr:col>
      <xdr:colOff>315190</xdr:colOff>
      <xdr:row>36</xdr:row>
      <xdr:rowOff>72738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10E2843-8029-8E43-2F9C-D8B147A16A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58882</xdr:colOff>
      <xdr:row>52</xdr:row>
      <xdr:rowOff>110836</xdr:rowOff>
    </xdr:from>
    <xdr:to>
      <xdr:col>13</xdr:col>
      <xdr:colOff>658091</xdr:colOff>
      <xdr:row>66</xdr:row>
      <xdr:rowOff>124691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DD5655C-CDC9-5408-5E01-9D064DCB92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938645</xdr:colOff>
      <xdr:row>25</xdr:row>
      <xdr:rowOff>138546</xdr:rowOff>
    </xdr:from>
    <xdr:to>
      <xdr:col>8</xdr:col>
      <xdr:colOff>34636</xdr:colOff>
      <xdr:row>35</xdr:row>
      <xdr:rowOff>65809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E1F6B59-743F-D725-A59D-6D978EB7D8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FF39F3-756B-444C-B86F-EF01B1CC6855}" name="Table2" displayName="Table2" ref="Q3:R7" totalsRowShown="0">
  <autoFilter ref="Q3:R7" xr:uid="{4BFF39F3-756B-444C-B86F-EF01B1CC6855}"/>
  <tableColumns count="2">
    <tableColumn id="1" xr3:uid="{3F7F8D9F-6D30-40B4-A03A-5C6A0DD61D4F}" name="Segment"/>
    <tableColumn id="2" xr3:uid="{CCF2275A-113D-45F7-B187-9DE76141F433}" name="Reven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4F00090-F2EF-4F0C-9F31-F8F9170E258A}" name="Table3" displayName="Table3" ref="W2:X17" totalsRowShown="0">
  <autoFilter ref="W2:X17" xr:uid="{54F00090-F2EF-4F0C-9F31-F8F9170E258A}"/>
  <sortState xmlns:xlrd2="http://schemas.microsoft.com/office/spreadsheetml/2017/richdata2" ref="W3:X20">
    <sortCondition descending="1" ref="X3:X20"/>
  </sortState>
  <tableColumns count="2">
    <tableColumn id="1" xr3:uid="{D9735580-4F5E-4363-9C21-37AB405D8EB1}" name="Client_id" dataDxfId="12"/>
    <tableColumn id="2" xr3:uid="{2EFF8162-581B-479B-A8C1-8412B95827AC}" name="hours_gap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5CA754-13DF-4F8B-806C-CAF446307C7B}" name="Table1" displayName="Table1" ref="K49:L51" totalsRowShown="0">
  <autoFilter ref="K49:L51" xr:uid="{6B5CA754-13DF-4F8B-806C-CAF446307C7B}"/>
  <tableColumns count="2">
    <tableColumn id="1" xr3:uid="{D34DCFCC-909D-4CD5-A122-A0CE085BC76A}" name="Group"/>
    <tableColumn id="2" xr3:uid="{6341EA83-12C3-466E-B02B-4378F1BC1CB1}" name="Avg Monthly Revenue" dataDxfId="11">
      <calculatedColumnFormula>SUM(J48:J65) - SUM(J48:J50)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203044B-21AB-42C5-8FB5-D85D2DB21AEA}" name="Table4" displayName="Table4" ref="E21:F24" totalsRowShown="0">
  <autoFilter ref="E21:F24" xr:uid="{B203044B-21AB-42C5-8FB5-D85D2DB21AEA}"/>
  <tableColumns count="2">
    <tableColumn id="1" xr3:uid="{F765A14D-DC28-47B6-AD46-070D55BC7538}" name="Utilization"/>
    <tableColumn id="2" xr3:uid="{4177442F-FD47-41B9-9003-AFE82420BE3F}" name="# Clients" dataDxfId="10">
      <calculatedColumnFormula>COUNTIFS(F1:F18, "&gt;.6",F1:F18, "&lt;0.8")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FAE7E-F2AA-4F77-AE9B-AB63D46E958D}">
  <dimension ref="A1:AA66"/>
  <sheetViews>
    <sheetView topLeftCell="K1" zoomScale="75" zoomScaleNormal="104" workbookViewId="0">
      <selection sqref="A1:M19"/>
    </sheetView>
  </sheetViews>
  <sheetFormatPr defaultRowHeight="14.4" x14ac:dyDescent="0.3"/>
  <cols>
    <col min="1" max="1" width="14.6640625" customWidth="1"/>
    <col min="2" max="2" width="15.5546875" customWidth="1"/>
    <col min="3" max="3" width="17.33203125" customWidth="1"/>
    <col min="4" max="4" width="14.44140625" customWidth="1"/>
    <col min="5" max="5" width="18.21875" customWidth="1"/>
    <col min="6" max="6" width="10.33203125" customWidth="1"/>
    <col min="8" max="8" width="11.109375" customWidth="1"/>
    <col min="9" max="9" width="14.88671875" customWidth="1"/>
    <col min="10" max="10" width="19.33203125" customWidth="1"/>
    <col min="11" max="11" width="16.21875" customWidth="1"/>
    <col min="12" max="12" width="11.5546875" customWidth="1"/>
    <col min="13" max="13" width="13.33203125" customWidth="1"/>
    <col min="14" max="14" width="19.44140625" customWidth="1"/>
    <col min="15" max="15" width="16.109375" customWidth="1"/>
    <col min="17" max="17" width="10.5546875" customWidth="1"/>
    <col min="18" max="18" width="15.5546875" customWidth="1"/>
    <col min="23" max="23" width="13" customWidth="1"/>
    <col min="24" max="24" width="13.33203125" customWidth="1"/>
    <col min="26" max="26" width="20.77734375" customWidth="1"/>
    <col min="27" max="27" width="17.5546875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8</v>
      </c>
      <c r="F1" t="s">
        <v>9</v>
      </c>
      <c r="G1" t="s">
        <v>12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22</v>
      </c>
      <c r="N1" t="s">
        <v>27</v>
      </c>
      <c r="O1" t="s">
        <v>32</v>
      </c>
    </row>
    <row r="2" spans="1:27" x14ac:dyDescent="0.3">
      <c r="A2" t="s">
        <v>4</v>
      </c>
      <c r="B2" s="2" t="s">
        <v>10</v>
      </c>
      <c r="C2" s="3">
        <v>8</v>
      </c>
      <c r="D2" s="3">
        <v>11</v>
      </c>
      <c r="E2">
        <f t="shared" ref="E2:E19" si="0">C2 * 3</f>
        <v>24</v>
      </c>
      <c r="F2" s="6">
        <f t="shared" ref="F2:F19" si="1">D2 /E2</f>
        <v>0.45833333333333331</v>
      </c>
      <c r="G2" t="s">
        <v>13</v>
      </c>
      <c r="H2" s="4">
        <f t="shared" ref="H2:H19" si="2">IF(G2="hour", 61.2, 33.75)</f>
        <v>61.2</v>
      </c>
      <c r="I2" s="5">
        <f t="shared" ref="I2:I19" si="3" xml:space="preserve"> H2 * D2</f>
        <v>673.2</v>
      </c>
      <c r="J2" s="5">
        <f t="shared" ref="J2:J19" si="4" xml:space="preserve"> I2 / 3</f>
        <v>224.4</v>
      </c>
      <c r="K2" s="1">
        <f>J2 / SUM(J1:J15)</f>
        <v>9.4248094248094244E-2</v>
      </c>
      <c r="L2" s="7">
        <f t="shared" ref="L2:L19" si="5">E2 - D2</f>
        <v>13</v>
      </c>
      <c r="M2" t="s">
        <v>24</v>
      </c>
      <c r="N2" t="s">
        <v>28</v>
      </c>
      <c r="O2" t="s">
        <v>28</v>
      </c>
      <c r="W2" t="s">
        <v>35</v>
      </c>
      <c r="X2" t="s">
        <v>19</v>
      </c>
      <c r="Z2" t="s">
        <v>48</v>
      </c>
    </row>
    <row r="3" spans="1:27" x14ac:dyDescent="0.3">
      <c r="A3" t="s">
        <v>61</v>
      </c>
      <c r="B3" s="2" t="s">
        <v>10</v>
      </c>
      <c r="C3" s="3">
        <v>8</v>
      </c>
      <c r="D3" s="3">
        <v>17</v>
      </c>
      <c r="E3">
        <f t="shared" si="0"/>
        <v>24</v>
      </c>
      <c r="F3" s="6">
        <f t="shared" si="1"/>
        <v>0.70833333333333337</v>
      </c>
      <c r="G3" t="s">
        <v>13</v>
      </c>
      <c r="H3" s="4">
        <f t="shared" si="2"/>
        <v>61.2</v>
      </c>
      <c r="I3" s="5">
        <f t="shared" si="3"/>
        <v>1040.4000000000001</v>
      </c>
      <c r="J3" s="5">
        <f t="shared" si="4"/>
        <v>346.8</v>
      </c>
      <c r="K3" s="1">
        <f>J3 / SUM(J1:J18)</f>
        <v>0.10864661654135338</v>
      </c>
      <c r="L3" s="7">
        <f t="shared" si="5"/>
        <v>7</v>
      </c>
      <c r="M3" t="s">
        <v>24</v>
      </c>
      <c r="N3">
        <f>COUNTIF($M$2:$M$19, "Anchor")</f>
        <v>5</v>
      </c>
      <c r="O3" s="4">
        <f>SUMIF($M$2:$M$19, "Anchor", $J$2:$J$19)</f>
        <v>1529.2500000000002</v>
      </c>
      <c r="Q3" t="s">
        <v>33</v>
      </c>
      <c r="R3" t="s">
        <v>34</v>
      </c>
      <c r="W3" t="s">
        <v>4</v>
      </c>
      <c r="X3">
        <v>13</v>
      </c>
      <c r="Z3" s="5">
        <f>SUM(J2:J19)</f>
        <v>3293.25</v>
      </c>
    </row>
    <row r="4" spans="1:27" x14ac:dyDescent="0.3">
      <c r="A4" t="s">
        <v>62</v>
      </c>
      <c r="B4" s="2" t="s">
        <v>10</v>
      </c>
      <c r="C4" s="3">
        <v>4</v>
      </c>
      <c r="D4" s="3">
        <v>6.5</v>
      </c>
      <c r="E4">
        <f t="shared" si="0"/>
        <v>12</v>
      </c>
      <c r="F4" s="6">
        <f t="shared" si="1"/>
        <v>0.54166666666666663</v>
      </c>
      <c r="G4" t="s">
        <v>14</v>
      </c>
      <c r="H4" s="4">
        <f t="shared" si="2"/>
        <v>33.75</v>
      </c>
      <c r="I4" s="5">
        <f t="shared" si="3"/>
        <v>219.375</v>
      </c>
      <c r="J4" s="5">
        <f t="shared" si="4"/>
        <v>73.125</v>
      </c>
      <c r="K4" s="1">
        <f>J4 / SUM(J1:J7)</f>
        <v>6.5669832289351374E-2</v>
      </c>
      <c r="L4" s="7">
        <f t="shared" si="5"/>
        <v>5.5</v>
      </c>
      <c r="M4" t="s">
        <v>24</v>
      </c>
      <c r="N4" t="s">
        <v>29</v>
      </c>
      <c r="O4" t="s">
        <v>29</v>
      </c>
      <c r="Q4" t="s">
        <v>23</v>
      </c>
      <c r="R4" s="5">
        <f>O3</f>
        <v>1529.2500000000002</v>
      </c>
      <c r="W4" t="s">
        <v>6</v>
      </c>
      <c r="X4">
        <v>7</v>
      </c>
      <c r="Z4" t="s">
        <v>20</v>
      </c>
      <c r="AA4" s="7">
        <f>SUMIF(L2:L19, "&gt;0")</f>
        <v>57</v>
      </c>
    </row>
    <row r="5" spans="1:27" x14ac:dyDescent="0.3">
      <c r="A5" t="s">
        <v>63</v>
      </c>
      <c r="B5" s="2" t="s">
        <v>11</v>
      </c>
      <c r="C5" s="3">
        <v>4</v>
      </c>
      <c r="D5" s="3">
        <v>7</v>
      </c>
      <c r="E5">
        <f t="shared" si="0"/>
        <v>12</v>
      </c>
      <c r="F5" s="6">
        <f t="shared" si="1"/>
        <v>0.58333333333333337</v>
      </c>
      <c r="G5" t="s">
        <v>13</v>
      </c>
      <c r="H5" s="4">
        <f t="shared" si="2"/>
        <v>61.2</v>
      </c>
      <c r="I5" s="5">
        <f t="shared" si="3"/>
        <v>428.40000000000003</v>
      </c>
      <c r="J5" s="5">
        <f t="shared" si="4"/>
        <v>142.80000000000001</v>
      </c>
      <c r="K5" s="1">
        <f>J5 / SUM(J1:J14)</f>
        <v>6.142728093947606E-2</v>
      </c>
      <c r="L5" s="7">
        <f t="shared" si="5"/>
        <v>5</v>
      </c>
      <c r="M5" t="s">
        <v>24</v>
      </c>
      <c r="N5">
        <f>COUNTIF($M$2:$M$19, "Opportunity")</f>
        <v>8</v>
      </c>
      <c r="O5" s="4">
        <f>SUMIF($M$2:$M$19, "Opportunity", $J$2:$J$19)</f>
        <v>1398.375</v>
      </c>
      <c r="Q5" t="s">
        <v>24</v>
      </c>
      <c r="R5" s="5">
        <f>O5</f>
        <v>1398.375</v>
      </c>
      <c r="W5" t="s">
        <v>36</v>
      </c>
      <c r="X5">
        <v>5.5</v>
      </c>
      <c r="Z5" t="s">
        <v>21</v>
      </c>
      <c r="AA5">
        <f>AA4 / 3</f>
        <v>19</v>
      </c>
    </row>
    <row r="6" spans="1:27" x14ac:dyDescent="0.3">
      <c r="A6" t="s">
        <v>38</v>
      </c>
      <c r="B6" s="2" t="s">
        <v>11</v>
      </c>
      <c r="C6" s="3">
        <v>4</v>
      </c>
      <c r="D6" s="3">
        <v>7</v>
      </c>
      <c r="E6">
        <f t="shared" si="0"/>
        <v>12</v>
      </c>
      <c r="F6" s="6">
        <f t="shared" si="1"/>
        <v>0.58333333333333337</v>
      </c>
      <c r="G6" t="s">
        <v>13</v>
      </c>
      <c r="H6" s="4">
        <f t="shared" si="2"/>
        <v>61.2</v>
      </c>
      <c r="I6" s="5">
        <f t="shared" si="3"/>
        <v>428.40000000000003</v>
      </c>
      <c r="J6" s="5">
        <f t="shared" si="4"/>
        <v>142.80000000000001</v>
      </c>
      <c r="K6" s="1">
        <f xml:space="preserve"> J6 / SUM(J1:J14)</f>
        <v>6.142728093947606E-2</v>
      </c>
      <c r="L6" s="7">
        <f t="shared" si="5"/>
        <v>5</v>
      </c>
      <c r="M6" t="s">
        <v>24</v>
      </c>
      <c r="N6" t="s">
        <v>30</v>
      </c>
      <c r="O6" t="s">
        <v>30</v>
      </c>
      <c r="Q6" t="s">
        <v>26</v>
      </c>
      <c r="R6" s="5">
        <f>O9</f>
        <v>225</v>
      </c>
      <c r="W6" t="s">
        <v>37</v>
      </c>
      <c r="X6">
        <v>5</v>
      </c>
      <c r="Z6" t="s">
        <v>49</v>
      </c>
      <c r="AA6" s="5">
        <f>(L2*H2) + (L3*H3) + (L4*H4) + (L5*H5) + (L6*H6) + (L7*H7) + (L8*H8) + (L9*H9) + (L10*H10) + (L11*H11) + (L12*H12) + (L13*H13) + (L14*H14) + (L15*H15) + (L16*H16)</f>
        <v>2994.2999999999997</v>
      </c>
    </row>
    <row r="7" spans="1:27" x14ac:dyDescent="0.3">
      <c r="A7" t="s">
        <v>39</v>
      </c>
      <c r="B7" s="2" t="s">
        <v>11</v>
      </c>
      <c r="C7" s="3">
        <v>4</v>
      </c>
      <c r="D7" s="3">
        <v>9</v>
      </c>
      <c r="E7">
        <f t="shared" si="0"/>
        <v>12</v>
      </c>
      <c r="F7" s="6">
        <f t="shared" si="1"/>
        <v>0.75</v>
      </c>
      <c r="G7" t="s">
        <v>13</v>
      </c>
      <c r="H7" s="4">
        <f t="shared" si="2"/>
        <v>61.2</v>
      </c>
      <c r="I7" s="5">
        <f t="shared" si="3"/>
        <v>550.80000000000007</v>
      </c>
      <c r="J7" s="5">
        <f t="shared" si="4"/>
        <v>183.60000000000002</v>
      </c>
      <c r="K7" s="1">
        <f xml:space="preserve"> J7 / SUM(J1:J18)</f>
        <v>5.7518796992481212E-2</v>
      </c>
      <c r="L7" s="7">
        <f t="shared" si="5"/>
        <v>3</v>
      </c>
      <c r="M7" t="s">
        <v>24</v>
      </c>
      <c r="N7">
        <f>COUNTIF($M$2:$M$19, "Low impact")</f>
        <v>2</v>
      </c>
      <c r="O7" s="4">
        <f>SUMIF($M$2:$M$19, "Low impact", $J$2:$J$19)</f>
        <v>140.625</v>
      </c>
      <c r="Q7" t="s">
        <v>25</v>
      </c>
      <c r="R7" s="5">
        <f>O7</f>
        <v>140.625</v>
      </c>
      <c r="W7" t="s">
        <v>38</v>
      </c>
      <c r="X7">
        <v>5</v>
      </c>
      <c r="Z7" t="s">
        <v>50</v>
      </c>
      <c r="AA7" t="s">
        <v>51</v>
      </c>
    </row>
    <row r="8" spans="1:27" x14ac:dyDescent="0.3">
      <c r="A8" t="s">
        <v>64</v>
      </c>
      <c r="B8" s="2" t="s">
        <v>11</v>
      </c>
      <c r="C8" s="3">
        <v>4</v>
      </c>
      <c r="D8" s="3">
        <v>9</v>
      </c>
      <c r="E8">
        <f t="shared" si="0"/>
        <v>12</v>
      </c>
      <c r="F8" s="6">
        <f t="shared" si="1"/>
        <v>0.75</v>
      </c>
      <c r="G8" t="s">
        <v>13</v>
      </c>
      <c r="H8" s="4">
        <f t="shared" si="2"/>
        <v>61.2</v>
      </c>
      <c r="I8" s="5">
        <f t="shared" si="3"/>
        <v>550.80000000000007</v>
      </c>
      <c r="J8" s="5">
        <f t="shared" si="4"/>
        <v>183.60000000000002</v>
      </c>
      <c r="K8" s="1">
        <f>J8 / SUM(J1:J18)</f>
        <v>5.7518796992481212E-2</v>
      </c>
      <c r="L8" s="7">
        <f t="shared" si="5"/>
        <v>3</v>
      </c>
      <c r="M8" t="s">
        <v>24</v>
      </c>
      <c r="N8" t="s">
        <v>31</v>
      </c>
      <c r="O8" t="s">
        <v>31</v>
      </c>
      <c r="W8" t="s">
        <v>39</v>
      </c>
      <c r="X8">
        <v>3</v>
      </c>
    </row>
    <row r="9" spans="1:27" x14ac:dyDescent="0.3">
      <c r="A9" t="s">
        <v>65</v>
      </c>
      <c r="B9" s="2" t="s">
        <v>10</v>
      </c>
      <c r="C9" s="3">
        <v>4</v>
      </c>
      <c r="D9" s="3">
        <v>9</v>
      </c>
      <c r="E9">
        <f t="shared" si="0"/>
        <v>12</v>
      </c>
      <c r="F9" s="6">
        <f t="shared" si="1"/>
        <v>0.75</v>
      </c>
      <c r="G9" t="s">
        <v>14</v>
      </c>
      <c r="H9" s="4">
        <f t="shared" si="2"/>
        <v>33.75</v>
      </c>
      <c r="I9" s="5">
        <f t="shared" si="3"/>
        <v>303.75</v>
      </c>
      <c r="J9" s="5">
        <f t="shared" si="4"/>
        <v>101.25</v>
      </c>
      <c r="K9" s="1">
        <f>J9 / SUM(J1:J13)</f>
        <v>4.8207398943008135E-2</v>
      </c>
      <c r="L9" s="7">
        <f t="shared" si="5"/>
        <v>3</v>
      </c>
      <c r="M9" t="s">
        <v>24</v>
      </c>
      <c r="N9">
        <f>COUNTIF($M$2:$M$19, "Steady")</f>
        <v>3</v>
      </c>
      <c r="O9" s="4">
        <f>SUMIF($M$2:$M$19, "Steady", $J$2:$J$19)</f>
        <v>225</v>
      </c>
      <c r="W9" t="s">
        <v>40</v>
      </c>
      <c r="X9">
        <v>3</v>
      </c>
    </row>
    <row r="10" spans="1:27" x14ac:dyDescent="0.3">
      <c r="A10" t="s">
        <v>66</v>
      </c>
      <c r="B10" s="2" t="s">
        <v>11</v>
      </c>
      <c r="C10" s="3">
        <v>2</v>
      </c>
      <c r="D10" s="3">
        <v>3</v>
      </c>
      <c r="E10">
        <f t="shared" si="0"/>
        <v>6</v>
      </c>
      <c r="F10" s="6">
        <f t="shared" si="1"/>
        <v>0.5</v>
      </c>
      <c r="G10" t="s">
        <v>14</v>
      </c>
      <c r="H10" s="4">
        <f t="shared" si="2"/>
        <v>33.75</v>
      </c>
      <c r="I10" s="5">
        <f t="shared" si="3"/>
        <v>101.25</v>
      </c>
      <c r="J10" s="5">
        <f t="shared" si="4"/>
        <v>33.75</v>
      </c>
      <c r="K10" s="1">
        <f>J10 / SUM(J1:J10)</f>
        <v>2.3566378633150038E-2</v>
      </c>
      <c r="L10" s="7">
        <f t="shared" si="5"/>
        <v>3</v>
      </c>
      <c r="M10" t="s">
        <v>25</v>
      </c>
      <c r="W10" t="s">
        <v>41</v>
      </c>
      <c r="X10">
        <v>3</v>
      </c>
    </row>
    <row r="11" spans="1:27" x14ac:dyDescent="0.3">
      <c r="A11" t="s">
        <v>67</v>
      </c>
      <c r="B11" s="2" t="s">
        <v>10</v>
      </c>
      <c r="C11" s="3">
        <v>4</v>
      </c>
      <c r="D11" s="3">
        <v>9.5</v>
      </c>
      <c r="E11">
        <f t="shared" si="0"/>
        <v>12</v>
      </c>
      <c r="F11" s="6">
        <f t="shared" si="1"/>
        <v>0.79166666666666663</v>
      </c>
      <c r="G11" t="s">
        <v>14</v>
      </c>
      <c r="H11" s="4">
        <f t="shared" si="2"/>
        <v>33.75</v>
      </c>
      <c r="I11" s="5">
        <f t="shared" si="3"/>
        <v>320.625</v>
      </c>
      <c r="J11" s="5">
        <f t="shared" si="4"/>
        <v>106.875</v>
      </c>
      <c r="K11" s="1">
        <f>J11 / SUM(J2:J17)</f>
        <v>3.6515990159901597E-2</v>
      </c>
      <c r="L11" s="7">
        <f t="shared" si="5"/>
        <v>2.5</v>
      </c>
      <c r="M11" t="s">
        <v>25</v>
      </c>
      <c r="W11" t="s">
        <v>42</v>
      </c>
      <c r="X11">
        <v>3</v>
      </c>
    </row>
    <row r="12" spans="1:27" x14ac:dyDescent="0.3">
      <c r="A12" t="s">
        <v>68</v>
      </c>
      <c r="B12" s="2" t="s">
        <v>10</v>
      </c>
      <c r="C12" s="3">
        <v>8</v>
      </c>
      <c r="D12" s="3">
        <v>22</v>
      </c>
      <c r="E12">
        <f t="shared" si="0"/>
        <v>24</v>
      </c>
      <c r="F12" s="6">
        <f t="shared" si="1"/>
        <v>0.91666666666666663</v>
      </c>
      <c r="G12" t="s">
        <v>13</v>
      </c>
      <c r="H12" s="4">
        <f t="shared" si="2"/>
        <v>61.2</v>
      </c>
      <c r="I12" s="5">
        <f t="shared" si="3"/>
        <v>1346.4</v>
      </c>
      <c r="J12" s="5">
        <f t="shared" si="4"/>
        <v>448.8</v>
      </c>
      <c r="K12" s="1">
        <f>J12 / SUM(J11:J28)</f>
        <v>0.24114446907112633</v>
      </c>
      <c r="L12" s="7">
        <f t="shared" si="5"/>
        <v>2</v>
      </c>
      <c r="M12" t="s">
        <v>23</v>
      </c>
      <c r="W12" t="s">
        <v>43</v>
      </c>
      <c r="X12">
        <v>2.5</v>
      </c>
    </row>
    <row r="13" spans="1:27" x14ac:dyDescent="0.3">
      <c r="A13" t="s">
        <v>5</v>
      </c>
      <c r="B13" s="2" t="s">
        <v>10</v>
      </c>
      <c r="C13" s="3">
        <v>4</v>
      </c>
      <c r="D13" s="3">
        <v>10</v>
      </c>
      <c r="E13">
        <f t="shared" si="0"/>
        <v>12</v>
      </c>
      <c r="F13" s="6">
        <f t="shared" si="1"/>
        <v>0.83333333333333337</v>
      </c>
      <c r="G13" t="s">
        <v>14</v>
      </c>
      <c r="H13" s="4">
        <f t="shared" si="2"/>
        <v>33.75</v>
      </c>
      <c r="I13" s="5">
        <f t="shared" si="3"/>
        <v>337.5</v>
      </c>
      <c r="J13" s="5">
        <f t="shared" si="4"/>
        <v>112.5</v>
      </c>
      <c r="K13" s="1">
        <f>J13 / SUM(J5:J20)</f>
        <v>4.2470058608680875E-2</v>
      </c>
      <c r="L13" s="7">
        <f t="shared" si="5"/>
        <v>2</v>
      </c>
      <c r="M13" t="s">
        <v>26</v>
      </c>
      <c r="W13" t="s">
        <v>44</v>
      </c>
      <c r="X13">
        <v>2</v>
      </c>
    </row>
    <row r="14" spans="1:27" x14ac:dyDescent="0.3">
      <c r="A14" t="s">
        <v>45</v>
      </c>
      <c r="B14" s="2" t="s">
        <v>11</v>
      </c>
      <c r="C14" s="3">
        <v>4</v>
      </c>
      <c r="D14" s="3">
        <v>11</v>
      </c>
      <c r="E14">
        <f t="shared" si="0"/>
        <v>12</v>
      </c>
      <c r="F14" s="6">
        <f t="shared" si="1"/>
        <v>0.91666666666666663</v>
      </c>
      <c r="G14" t="s">
        <v>13</v>
      </c>
      <c r="H14" s="4">
        <f t="shared" si="2"/>
        <v>61.2</v>
      </c>
      <c r="I14" s="5">
        <f t="shared" si="3"/>
        <v>673.2</v>
      </c>
      <c r="J14" s="5">
        <f t="shared" si="4"/>
        <v>224.4</v>
      </c>
      <c r="K14" s="1">
        <f>J14 / SUM(J10:J26)</f>
        <v>0.11842469819908966</v>
      </c>
      <c r="L14" s="7">
        <f t="shared" si="5"/>
        <v>1</v>
      </c>
      <c r="M14" t="s">
        <v>23</v>
      </c>
      <c r="W14" t="s">
        <v>5</v>
      </c>
      <c r="X14">
        <v>2</v>
      </c>
    </row>
    <row r="15" spans="1:27" x14ac:dyDescent="0.3">
      <c r="A15" t="s">
        <v>69</v>
      </c>
      <c r="B15" s="2" t="s">
        <v>11</v>
      </c>
      <c r="C15" s="3">
        <v>2</v>
      </c>
      <c r="D15" s="3">
        <v>5</v>
      </c>
      <c r="E15">
        <f t="shared" si="0"/>
        <v>6</v>
      </c>
      <c r="F15" s="6">
        <f t="shared" si="1"/>
        <v>0.83333333333333337</v>
      </c>
      <c r="G15" t="s">
        <v>14</v>
      </c>
      <c r="H15" s="4">
        <f t="shared" si="2"/>
        <v>33.75</v>
      </c>
      <c r="I15" s="5">
        <f t="shared" si="3"/>
        <v>168.75</v>
      </c>
      <c r="J15" s="5">
        <f t="shared" si="4"/>
        <v>56.25</v>
      </c>
      <c r="K15" s="1">
        <f xml:space="preserve"> J15 / SUM(J10:J17)</f>
        <v>3.6802590902399533E-2</v>
      </c>
      <c r="L15" s="7">
        <f t="shared" si="5"/>
        <v>1</v>
      </c>
      <c r="M15" t="s">
        <v>26</v>
      </c>
      <c r="W15" t="s">
        <v>45</v>
      </c>
      <c r="X15">
        <v>1</v>
      </c>
    </row>
    <row r="16" spans="1:27" x14ac:dyDescent="0.3">
      <c r="A16" t="s">
        <v>70</v>
      </c>
      <c r="B16" s="2" t="s">
        <v>11</v>
      </c>
      <c r="C16" s="3">
        <v>2</v>
      </c>
      <c r="D16" s="3">
        <v>5</v>
      </c>
      <c r="E16">
        <f t="shared" si="0"/>
        <v>6</v>
      </c>
      <c r="F16" s="6">
        <f t="shared" si="1"/>
        <v>0.83333333333333337</v>
      </c>
      <c r="G16" t="s">
        <v>14</v>
      </c>
      <c r="H16" s="4">
        <f t="shared" si="2"/>
        <v>33.75</v>
      </c>
      <c r="I16" s="5">
        <f t="shared" si="3"/>
        <v>168.75</v>
      </c>
      <c r="J16" s="5">
        <f t="shared" si="4"/>
        <v>56.25</v>
      </c>
      <c r="K16" s="1">
        <f>J16 / SUM(J10:J17)</f>
        <v>3.6802590902399533E-2</v>
      </c>
      <c r="L16" s="7">
        <f t="shared" si="5"/>
        <v>1</v>
      </c>
      <c r="M16" t="s">
        <v>26</v>
      </c>
      <c r="W16" t="s">
        <v>46</v>
      </c>
      <c r="X16">
        <v>1</v>
      </c>
    </row>
    <row r="17" spans="1:24" x14ac:dyDescent="0.3">
      <c r="A17" t="s">
        <v>7</v>
      </c>
      <c r="B17" s="2" t="s">
        <v>10</v>
      </c>
      <c r="C17" s="3">
        <v>8</v>
      </c>
      <c r="D17" s="3">
        <v>24</v>
      </c>
      <c r="E17">
        <f t="shared" si="0"/>
        <v>24</v>
      </c>
      <c r="F17" s="6">
        <f t="shared" si="1"/>
        <v>1</v>
      </c>
      <c r="G17" t="s">
        <v>13</v>
      </c>
      <c r="H17" s="4">
        <f t="shared" si="2"/>
        <v>61.2</v>
      </c>
      <c r="I17" s="5">
        <f t="shared" si="3"/>
        <v>1468.8000000000002</v>
      </c>
      <c r="J17" s="5">
        <f t="shared" si="4"/>
        <v>489.60000000000008</v>
      </c>
      <c r="K17" s="1">
        <f xml:space="preserve"> J17 / SUM(J17:J34)</f>
        <v>0.57192920974242167</v>
      </c>
      <c r="L17" s="7">
        <f t="shared" si="5"/>
        <v>0</v>
      </c>
      <c r="M17" t="s">
        <v>23</v>
      </c>
      <c r="W17" t="s">
        <v>47</v>
      </c>
      <c r="X17">
        <v>1</v>
      </c>
    </row>
    <row r="18" spans="1:24" x14ac:dyDescent="0.3">
      <c r="A18" t="s">
        <v>71</v>
      </c>
      <c r="B18" s="2" t="s">
        <v>11</v>
      </c>
      <c r="C18" s="3">
        <v>4</v>
      </c>
      <c r="D18" s="3">
        <v>13</v>
      </c>
      <c r="E18">
        <f t="shared" si="0"/>
        <v>12</v>
      </c>
      <c r="F18" s="6">
        <f t="shared" si="1"/>
        <v>1.0833333333333333</v>
      </c>
      <c r="G18" t="s">
        <v>13</v>
      </c>
      <c r="H18" s="4">
        <f t="shared" si="2"/>
        <v>61.2</v>
      </c>
      <c r="I18" s="5">
        <f t="shared" si="3"/>
        <v>795.6</v>
      </c>
      <c r="J18" s="5">
        <f t="shared" si="4"/>
        <v>265.2</v>
      </c>
      <c r="K18" s="1">
        <f xml:space="preserve"> J18 / SUM(J16:J32)</f>
        <v>0.29069385070700421</v>
      </c>
      <c r="L18" s="7">
        <f t="shared" si="5"/>
        <v>-1</v>
      </c>
      <c r="M18" t="s">
        <v>23</v>
      </c>
    </row>
    <row r="19" spans="1:24" x14ac:dyDescent="0.3">
      <c r="A19" t="s">
        <v>72</v>
      </c>
      <c r="B19" s="2" t="s">
        <v>11</v>
      </c>
      <c r="C19" s="3">
        <v>2</v>
      </c>
      <c r="D19" s="3">
        <v>9</v>
      </c>
      <c r="E19">
        <f t="shared" si="0"/>
        <v>6</v>
      </c>
      <c r="F19" s="6">
        <f t="shared" si="1"/>
        <v>1.5</v>
      </c>
      <c r="G19" t="s">
        <v>14</v>
      </c>
      <c r="H19" s="4">
        <f t="shared" si="2"/>
        <v>33.75</v>
      </c>
      <c r="I19" s="5">
        <f t="shared" si="3"/>
        <v>303.75</v>
      </c>
      <c r="J19" s="5">
        <f t="shared" si="4"/>
        <v>101.25</v>
      </c>
      <c r="K19" s="1">
        <f xml:space="preserve"> J19 / SUM(J18:J24)</f>
        <v>0.2762996316004912</v>
      </c>
      <c r="L19" s="7">
        <f t="shared" si="5"/>
        <v>-3</v>
      </c>
      <c r="M19" t="s">
        <v>23</v>
      </c>
    </row>
    <row r="21" spans="1:24" x14ac:dyDescent="0.3">
      <c r="E21" t="s">
        <v>54</v>
      </c>
      <c r="F21" t="s">
        <v>55</v>
      </c>
    </row>
    <row r="22" spans="1:24" x14ac:dyDescent="0.3">
      <c r="E22" t="s">
        <v>56</v>
      </c>
      <c r="F22">
        <f t="shared" ref="F22:F23" si="6">COUNTIFS(F1:F18, "&gt;.6",F1:F18, "&lt;0.8")</f>
        <v>5</v>
      </c>
    </row>
    <row r="23" spans="1:24" x14ac:dyDescent="0.3">
      <c r="E23" t="s">
        <v>57</v>
      </c>
      <c r="F23">
        <f t="shared" si="6"/>
        <v>5</v>
      </c>
    </row>
    <row r="24" spans="1:24" x14ac:dyDescent="0.3">
      <c r="E24" t="s">
        <v>60</v>
      </c>
      <c r="F24">
        <f>COUNTIF(F2:F19, "&gt;=0.8")</f>
        <v>8</v>
      </c>
      <c r="L24" s="5"/>
    </row>
    <row r="49" spans="1:12" x14ac:dyDescent="0.3">
      <c r="A49" t="s">
        <v>7</v>
      </c>
      <c r="B49" s="2" t="s">
        <v>10</v>
      </c>
      <c r="C49" s="3">
        <v>8</v>
      </c>
      <c r="D49" s="3">
        <v>24</v>
      </c>
      <c r="E49">
        <f t="shared" ref="E49:E66" si="7">C49 * 3</f>
        <v>24</v>
      </c>
      <c r="F49" s="6">
        <f t="shared" ref="F49:F66" si="8">D49 /E49</f>
        <v>1</v>
      </c>
      <c r="G49" t="s">
        <v>13</v>
      </c>
      <c r="H49" s="4">
        <f t="shared" ref="H49:H66" si="9">IF(G49="hour", 61.2, 33.75)</f>
        <v>61.2</v>
      </c>
      <c r="I49" s="5">
        <f t="shared" ref="I49:I66" si="10" xml:space="preserve"> H49 * D49</f>
        <v>1468.8000000000002</v>
      </c>
      <c r="J49" s="5">
        <f t="shared" ref="J49:J66" si="11" xml:space="preserve"> I49 / 3</f>
        <v>489.60000000000008</v>
      </c>
      <c r="K49" t="s">
        <v>52</v>
      </c>
      <c r="L49" s="5" t="s">
        <v>53</v>
      </c>
    </row>
    <row r="50" spans="1:12" x14ac:dyDescent="0.3">
      <c r="A50" t="s">
        <v>68</v>
      </c>
      <c r="B50" s="2" t="s">
        <v>10</v>
      </c>
      <c r="C50" s="3">
        <v>8</v>
      </c>
      <c r="D50" s="3">
        <v>22</v>
      </c>
      <c r="E50">
        <f t="shared" si="7"/>
        <v>24</v>
      </c>
      <c r="F50" s="6">
        <f t="shared" si="8"/>
        <v>0.91666666666666663</v>
      </c>
      <c r="G50" t="s">
        <v>13</v>
      </c>
      <c r="H50" s="4">
        <f t="shared" si="9"/>
        <v>61.2</v>
      </c>
      <c r="I50" s="5">
        <f t="shared" si="10"/>
        <v>1346.4</v>
      </c>
      <c r="J50" s="5">
        <f t="shared" si="11"/>
        <v>448.8</v>
      </c>
      <c r="K50" t="s">
        <v>58</v>
      </c>
      <c r="L50" s="5">
        <f>SUM(J49:J51)</f>
        <v>1285.2</v>
      </c>
    </row>
    <row r="51" spans="1:12" x14ac:dyDescent="0.3">
      <c r="A51" t="s">
        <v>6</v>
      </c>
      <c r="B51" s="2" t="s">
        <v>10</v>
      </c>
      <c r="C51" s="3">
        <v>8</v>
      </c>
      <c r="D51" s="3">
        <v>17</v>
      </c>
      <c r="E51">
        <f t="shared" si="7"/>
        <v>24</v>
      </c>
      <c r="F51" s="6">
        <f t="shared" si="8"/>
        <v>0.70833333333333337</v>
      </c>
      <c r="G51" t="s">
        <v>13</v>
      </c>
      <c r="H51" s="4">
        <f t="shared" si="9"/>
        <v>61.2</v>
      </c>
      <c r="I51" s="5">
        <f t="shared" si="10"/>
        <v>1040.4000000000001</v>
      </c>
      <c r="J51" s="5">
        <f t="shared" si="11"/>
        <v>346.8</v>
      </c>
      <c r="K51" t="s">
        <v>59</v>
      </c>
      <c r="L51" s="5">
        <f>SUM(J49:J66) - SUM(J49:J51)</f>
        <v>2008.0500000000004</v>
      </c>
    </row>
    <row r="52" spans="1:12" x14ac:dyDescent="0.3">
      <c r="A52" t="s">
        <v>71</v>
      </c>
      <c r="B52" s="2" t="s">
        <v>11</v>
      </c>
      <c r="C52" s="3">
        <v>4</v>
      </c>
      <c r="D52" s="3">
        <v>13</v>
      </c>
      <c r="E52">
        <f t="shared" si="7"/>
        <v>12</v>
      </c>
      <c r="F52" s="6">
        <f t="shared" si="8"/>
        <v>1.0833333333333333</v>
      </c>
      <c r="G52" t="s">
        <v>13</v>
      </c>
      <c r="H52" s="4">
        <f t="shared" si="9"/>
        <v>61.2</v>
      </c>
      <c r="I52" s="5">
        <f t="shared" si="10"/>
        <v>795.6</v>
      </c>
      <c r="J52" s="5">
        <f t="shared" si="11"/>
        <v>265.2</v>
      </c>
    </row>
    <row r="53" spans="1:12" x14ac:dyDescent="0.3">
      <c r="A53" t="s">
        <v>4</v>
      </c>
      <c r="B53" s="2" t="s">
        <v>10</v>
      </c>
      <c r="C53" s="3">
        <v>8</v>
      </c>
      <c r="D53" s="3">
        <v>11</v>
      </c>
      <c r="E53">
        <f t="shared" si="7"/>
        <v>24</v>
      </c>
      <c r="F53" s="6">
        <f t="shared" si="8"/>
        <v>0.45833333333333331</v>
      </c>
      <c r="G53" t="s">
        <v>13</v>
      </c>
      <c r="H53" s="4">
        <f t="shared" si="9"/>
        <v>61.2</v>
      </c>
      <c r="I53" s="5">
        <f t="shared" si="10"/>
        <v>673.2</v>
      </c>
      <c r="J53" s="5">
        <f t="shared" si="11"/>
        <v>224.4</v>
      </c>
    </row>
    <row r="54" spans="1:12" x14ac:dyDescent="0.3">
      <c r="A54" t="s">
        <v>73</v>
      </c>
      <c r="B54" s="2" t="s">
        <v>11</v>
      </c>
      <c r="C54" s="3">
        <v>4</v>
      </c>
      <c r="D54" s="3">
        <v>11</v>
      </c>
      <c r="E54">
        <f t="shared" si="7"/>
        <v>12</v>
      </c>
      <c r="F54" s="6">
        <f t="shared" si="8"/>
        <v>0.91666666666666663</v>
      </c>
      <c r="G54" t="s">
        <v>13</v>
      </c>
      <c r="H54" s="4">
        <f t="shared" si="9"/>
        <v>61.2</v>
      </c>
      <c r="I54" s="5">
        <f t="shared" si="10"/>
        <v>673.2</v>
      </c>
      <c r="J54" s="5">
        <f t="shared" si="11"/>
        <v>224.4</v>
      </c>
    </row>
    <row r="55" spans="1:12" x14ac:dyDescent="0.3">
      <c r="A55" t="s">
        <v>74</v>
      </c>
      <c r="B55" s="2" t="s">
        <v>11</v>
      </c>
      <c r="C55" s="3">
        <v>4</v>
      </c>
      <c r="D55" s="3">
        <v>9</v>
      </c>
      <c r="E55">
        <f t="shared" si="7"/>
        <v>12</v>
      </c>
      <c r="F55" s="6">
        <f t="shared" si="8"/>
        <v>0.75</v>
      </c>
      <c r="G55" t="s">
        <v>13</v>
      </c>
      <c r="H55" s="4">
        <f t="shared" si="9"/>
        <v>61.2</v>
      </c>
      <c r="I55" s="5">
        <f t="shared" si="10"/>
        <v>550.80000000000007</v>
      </c>
      <c r="J55" s="5">
        <f t="shared" si="11"/>
        <v>183.60000000000002</v>
      </c>
    </row>
    <row r="56" spans="1:12" x14ac:dyDescent="0.3">
      <c r="A56" t="s">
        <v>64</v>
      </c>
      <c r="B56" s="2" t="s">
        <v>11</v>
      </c>
      <c r="C56" s="3">
        <v>4</v>
      </c>
      <c r="D56" s="3">
        <v>9</v>
      </c>
      <c r="E56">
        <f t="shared" si="7"/>
        <v>12</v>
      </c>
      <c r="F56" s="6">
        <f t="shared" si="8"/>
        <v>0.75</v>
      </c>
      <c r="G56" t="s">
        <v>13</v>
      </c>
      <c r="H56" s="4">
        <f t="shared" si="9"/>
        <v>61.2</v>
      </c>
      <c r="I56" s="5">
        <f t="shared" si="10"/>
        <v>550.80000000000007</v>
      </c>
      <c r="J56" s="5">
        <f t="shared" si="11"/>
        <v>183.60000000000002</v>
      </c>
    </row>
    <row r="57" spans="1:12" x14ac:dyDescent="0.3">
      <c r="A57" t="s">
        <v>63</v>
      </c>
      <c r="B57" s="2" t="s">
        <v>11</v>
      </c>
      <c r="C57" s="3">
        <v>4</v>
      </c>
      <c r="D57" s="3">
        <v>7</v>
      </c>
      <c r="E57">
        <f t="shared" si="7"/>
        <v>12</v>
      </c>
      <c r="F57" s="6">
        <f t="shared" si="8"/>
        <v>0.58333333333333337</v>
      </c>
      <c r="G57" t="s">
        <v>13</v>
      </c>
      <c r="H57" s="4">
        <f t="shared" si="9"/>
        <v>61.2</v>
      </c>
      <c r="I57" s="5">
        <f t="shared" si="10"/>
        <v>428.40000000000003</v>
      </c>
      <c r="J57" s="5">
        <f t="shared" si="11"/>
        <v>142.80000000000001</v>
      </c>
    </row>
    <row r="58" spans="1:12" x14ac:dyDescent="0.3">
      <c r="A58" t="s">
        <v>75</v>
      </c>
      <c r="B58" s="2" t="s">
        <v>11</v>
      </c>
      <c r="C58" s="3">
        <v>4</v>
      </c>
      <c r="D58" s="3">
        <v>7</v>
      </c>
      <c r="E58">
        <f t="shared" si="7"/>
        <v>12</v>
      </c>
      <c r="F58" s="6">
        <f t="shared" si="8"/>
        <v>0.58333333333333337</v>
      </c>
      <c r="G58" t="s">
        <v>13</v>
      </c>
      <c r="H58" s="4">
        <f t="shared" si="9"/>
        <v>61.2</v>
      </c>
      <c r="I58" s="5">
        <f t="shared" si="10"/>
        <v>428.40000000000003</v>
      </c>
      <c r="J58" s="5">
        <f t="shared" si="11"/>
        <v>142.80000000000001</v>
      </c>
    </row>
    <row r="59" spans="1:12" x14ac:dyDescent="0.3">
      <c r="A59" t="s">
        <v>5</v>
      </c>
      <c r="B59" s="2" t="s">
        <v>10</v>
      </c>
      <c r="C59" s="3">
        <v>4</v>
      </c>
      <c r="D59" s="3">
        <v>10</v>
      </c>
      <c r="E59">
        <f t="shared" si="7"/>
        <v>12</v>
      </c>
      <c r="F59" s="6">
        <f t="shared" si="8"/>
        <v>0.83333333333333337</v>
      </c>
      <c r="G59" t="s">
        <v>14</v>
      </c>
      <c r="H59" s="4">
        <f t="shared" si="9"/>
        <v>33.75</v>
      </c>
      <c r="I59" s="5">
        <f t="shared" si="10"/>
        <v>337.5</v>
      </c>
      <c r="J59" s="5">
        <f t="shared" si="11"/>
        <v>112.5</v>
      </c>
    </row>
    <row r="60" spans="1:12" x14ac:dyDescent="0.3">
      <c r="A60" t="s">
        <v>67</v>
      </c>
      <c r="B60" s="2" t="s">
        <v>10</v>
      </c>
      <c r="C60" s="3">
        <v>4</v>
      </c>
      <c r="D60" s="3">
        <v>9.5</v>
      </c>
      <c r="E60">
        <f t="shared" si="7"/>
        <v>12</v>
      </c>
      <c r="F60" s="6">
        <f t="shared" si="8"/>
        <v>0.79166666666666663</v>
      </c>
      <c r="G60" t="s">
        <v>14</v>
      </c>
      <c r="H60" s="4">
        <f t="shared" si="9"/>
        <v>33.75</v>
      </c>
      <c r="I60" s="5">
        <f t="shared" si="10"/>
        <v>320.625</v>
      </c>
      <c r="J60" s="5">
        <f t="shared" si="11"/>
        <v>106.875</v>
      </c>
    </row>
    <row r="61" spans="1:12" x14ac:dyDescent="0.3">
      <c r="A61" t="s">
        <v>65</v>
      </c>
      <c r="B61" s="2" t="s">
        <v>10</v>
      </c>
      <c r="C61" s="3">
        <v>4</v>
      </c>
      <c r="D61" s="3">
        <v>9</v>
      </c>
      <c r="E61">
        <f t="shared" si="7"/>
        <v>12</v>
      </c>
      <c r="F61" s="6">
        <f t="shared" si="8"/>
        <v>0.75</v>
      </c>
      <c r="G61" t="s">
        <v>14</v>
      </c>
      <c r="H61" s="4">
        <f t="shared" si="9"/>
        <v>33.75</v>
      </c>
      <c r="I61" s="5">
        <f t="shared" si="10"/>
        <v>303.75</v>
      </c>
      <c r="J61" s="5">
        <f t="shared" si="11"/>
        <v>101.25</v>
      </c>
    </row>
    <row r="62" spans="1:12" x14ac:dyDescent="0.3">
      <c r="A62" t="s">
        <v>72</v>
      </c>
      <c r="B62" s="2" t="s">
        <v>11</v>
      </c>
      <c r="C62" s="3">
        <v>2</v>
      </c>
      <c r="D62" s="3">
        <v>9</v>
      </c>
      <c r="E62">
        <f t="shared" si="7"/>
        <v>6</v>
      </c>
      <c r="F62" s="6">
        <f t="shared" si="8"/>
        <v>1.5</v>
      </c>
      <c r="G62" t="s">
        <v>14</v>
      </c>
      <c r="H62" s="4">
        <f t="shared" si="9"/>
        <v>33.75</v>
      </c>
      <c r="I62" s="5">
        <f t="shared" si="10"/>
        <v>303.75</v>
      </c>
      <c r="J62" s="5">
        <f t="shared" si="11"/>
        <v>101.25</v>
      </c>
    </row>
    <row r="63" spans="1:12" x14ac:dyDescent="0.3">
      <c r="A63" t="s">
        <v>62</v>
      </c>
      <c r="B63" s="2" t="s">
        <v>10</v>
      </c>
      <c r="C63" s="3">
        <v>4</v>
      </c>
      <c r="D63" s="3">
        <v>6.5</v>
      </c>
      <c r="E63">
        <f t="shared" si="7"/>
        <v>12</v>
      </c>
      <c r="F63" s="6">
        <f t="shared" si="8"/>
        <v>0.54166666666666663</v>
      </c>
      <c r="G63" t="s">
        <v>14</v>
      </c>
      <c r="H63" s="4">
        <f t="shared" si="9"/>
        <v>33.75</v>
      </c>
      <c r="I63" s="5">
        <f t="shared" si="10"/>
        <v>219.375</v>
      </c>
      <c r="J63" s="5">
        <f t="shared" si="11"/>
        <v>73.125</v>
      </c>
    </row>
    <row r="64" spans="1:12" x14ac:dyDescent="0.3">
      <c r="A64" t="s">
        <v>69</v>
      </c>
      <c r="B64" s="2" t="s">
        <v>11</v>
      </c>
      <c r="C64" s="3">
        <v>2</v>
      </c>
      <c r="D64" s="3">
        <v>5</v>
      </c>
      <c r="E64">
        <f t="shared" si="7"/>
        <v>6</v>
      </c>
      <c r="F64" s="6">
        <f t="shared" si="8"/>
        <v>0.83333333333333337</v>
      </c>
      <c r="G64" t="s">
        <v>14</v>
      </c>
      <c r="H64" s="4">
        <f t="shared" si="9"/>
        <v>33.75</v>
      </c>
      <c r="I64" s="5">
        <f t="shared" si="10"/>
        <v>168.75</v>
      </c>
      <c r="J64" s="5">
        <f t="shared" si="11"/>
        <v>56.25</v>
      </c>
    </row>
    <row r="65" spans="1:10" x14ac:dyDescent="0.3">
      <c r="A65" t="s">
        <v>70</v>
      </c>
      <c r="B65" s="2" t="s">
        <v>11</v>
      </c>
      <c r="C65" s="3">
        <v>2</v>
      </c>
      <c r="D65" s="3">
        <v>5</v>
      </c>
      <c r="E65">
        <f t="shared" si="7"/>
        <v>6</v>
      </c>
      <c r="F65" s="6">
        <f t="shared" si="8"/>
        <v>0.83333333333333337</v>
      </c>
      <c r="G65" t="s">
        <v>14</v>
      </c>
      <c r="H65" s="4">
        <f t="shared" si="9"/>
        <v>33.75</v>
      </c>
      <c r="I65" s="5">
        <f t="shared" si="10"/>
        <v>168.75</v>
      </c>
      <c r="J65" s="5">
        <f t="shared" si="11"/>
        <v>56.25</v>
      </c>
    </row>
    <row r="66" spans="1:10" x14ac:dyDescent="0.3">
      <c r="A66" t="s">
        <v>66</v>
      </c>
      <c r="B66" s="2" t="s">
        <v>11</v>
      </c>
      <c r="C66" s="3">
        <v>2</v>
      </c>
      <c r="D66" s="3">
        <v>3</v>
      </c>
      <c r="E66">
        <f t="shared" si="7"/>
        <v>6</v>
      </c>
      <c r="F66" s="6">
        <f t="shared" si="8"/>
        <v>0.5</v>
      </c>
      <c r="G66" t="s">
        <v>14</v>
      </c>
      <c r="H66" s="4">
        <f t="shared" si="9"/>
        <v>33.75</v>
      </c>
      <c r="I66" s="5">
        <f t="shared" si="10"/>
        <v>101.25</v>
      </c>
      <c r="J66" s="5">
        <f t="shared" si="11"/>
        <v>33.75</v>
      </c>
    </row>
  </sheetData>
  <sortState xmlns:xlrd2="http://schemas.microsoft.com/office/spreadsheetml/2017/richdata2" ref="A49:J66">
    <sortCondition descending="1" ref="J49:J66"/>
  </sortState>
  <phoneticPr fontId="2" type="noConversion"/>
  <conditionalFormatting sqref="M2:O19">
    <cfRule type="containsText" dxfId="5" priority="6" operator="containsText" text="Opportunity">
      <formula>NOT(ISERROR(SEARCH("Opportunity",M2)))</formula>
    </cfRule>
  </conditionalFormatting>
  <dataValidations count="1">
    <dataValidation type="list" allowBlank="1" showInputMessage="1" showErrorMessage="1" sqref="M2:M19" xr:uid="{B0C82355-392B-412B-98F0-663080C5CD7D}">
      <formula1>"Anchor, Opportunity, Low impact, Steady"</formula1>
    </dataValidation>
  </dataValidations>
  <pageMargins left="0.7" right="0.7" top="0.75" bottom="0.75" header="0.3" footer="0.3"/>
  <pageSetup orientation="portrait" r:id="rId1"/>
  <drawing r:id="rId2"/>
  <tableParts count="4">
    <tablePart r:id="rId3"/>
    <tablePart r:id="rId4"/>
    <tablePart r:id="rId5"/>
    <tablePart r:id="rId6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40C3A0E9-7D40-4019-8BDE-05C7C4DFBF96}">
            <xm:f>NOT(ISERROR(SEARCH("Low impact",M2)))</xm:f>
            <xm:f>"Low impact"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2" operator="containsText" id="{1014029C-03D1-4094-8944-EA27CEF2930B}">
            <xm:f>NOT(ISERROR(SEARCH("Steady",M2)))</xm:f>
            <xm:f>"Steady"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ontainsText" priority="3" operator="containsText" id="{3F514451-127A-4136-8C76-4D06A051F9F3}">
            <xm:f>NOT(ISERROR(SEARCH("Low impact",M2)))</xm:f>
            <xm:f>"Low impact"</xm:f>
            <x14:dxf>
              <border>
                <left style="thin">
                  <color rgb="FF9C0006"/>
                </left>
                <right style="thin">
                  <color rgb="FF9C0006"/>
                </right>
                <top style="thin">
                  <color rgb="FF9C0006"/>
                </top>
                <bottom style="thin">
                  <color rgb="FF9C0006"/>
                </bottom>
              </border>
            </x14:dxf>
          </x14:cfRule>
          <x14:cfRule type="containsText" priority="5" operator="containsText" id="{78B2C656-C7C0-475D-8EBC-28A3C2D5AFAD}">
            <xm:f>NOT(ISERROR(SEARCH("Anchor",M2)))</xm:f>
            <xm:f>"Anchor"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M2:O19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A269A-4237-4F71-9AA7-BEB1F587027A}">
  <dimension ref="A1:M19"/>
  <sheetViews>
    <sheetView tabSelected="1" topLeftCell="A6" workbookViewId="0">
      <selection activeCell="A20" sqref="A20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8</v>
      </c>
      <c r="F1" t="s">
        <v>9</v>
      </c>
      <c r="G1" t="s">
        <v>12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22</v>
      </c>
    </row>
    <row r="2" spans="1:13" x14ac:dyDescent="0.3">
      <c r="A2" t="s">
        <v>4</v>
      </c>
      <c r="B2" s="2" t="s">
        <v>10</v>
      </c>
      <c r="C2" s="3">
        <v>8</v>
      </c>
      <c r="D2" s="3">
        <v>11</v>
      </c>
      <c r="E2">
        <f t="shared" ref="E2:E19" si="0">C2 * 3</f>
        <v>24</v>
      </c>
      <c r="F2" s="6">
        <f t="shared" ref="F2:F19" si="1">D2 /E2</f>
        <v>0.45833333333333331</v>
      </c>
      <c r="G2" t="s">
        <v>13</v>
      </c>
      <c r="H2" s="4">
        <f t="shared" ref="H2:H19" si="2">IF(G2="hour", 61.2, 33.75)</f>
        <v>61.2</v>
      </c>
      <c r="I2" s="5">
        <f t="shared" ref="I2:I19" si="3" xml:space="preserve"> H2 * D2</f>
        <v>673.2</v>
      </c>
      <c r="J2" s="5">
        <f t="shared" ref="J2:J19" si="4" xml:space="preserve"> I2 / 3</f>
        <v>224.4</v>
      </c>
      <c r="K2" s="1">
        <f>J2 / SUM(J1:J15)</f>
        <v>9.4248094248094244E-2</v>
      </c>
      <c r="L2" s="7">
        <f t="shared" ref="L2:L19" si="5">E2 - D2</f>
        <v>13</v>
      </c>
      <c r="M2" t="s">
        <v>24</v>
      </c>
    </row>
    <row r="3" spans="1:13" x14ac:dyDescent="0.3">
      <c r="A3" t="s">
        <v>6</v>
      </c>
      <c r="B3" s="2" t="s">
        <v>10</v>
      </c>
      <c r="C3" s="3">
        <v>8</v>
      </c>
      <c r="D3" s="3">
        <v>17</v>
      </c>
      <c r="E3">
        <f t="shared" si="0"/>
        <v>24</v>
      </c>
      <c r="F3" s="6">
        <f t="shared" si="1"/>
        <v>0.70833333333333337</v>
      </c>
      <c r="G3" t="s">
        <v>13</v>
      </c>
      <c r="H3" s="4">
        <f t="shared" si="2"/>
        <v>61.2</v>
      </c>
      <c r="I3" s="5">
        <f t="shared" si="3"/>
        <v>1040.4000000000001</v>
      </c>
      <c r="J3" s="5">
        <f t="shared" si="4"/>
        <v>346.8</v>
      </c>
      <c r="K3" s="1">
        <f>J3 / SUM(J1:J18)</f>
        <v>0.10864661654135338</v>
      </c>
      <c r="L3" s="7">
        <f t="shared" si="5"/>
        <v>7</v>
      </c>
      <c r="M3" t="s">
        <v>24</v>
      </c>
    </row>
    <row r="4" spans="1:13" x14ac:dyDescent="0.3">
      <c r="A4" t="s">
        <v>62</v>
      </c>
      <c r="B4" s="2" t="s">
        <v>10</v>
      </c>
      <c r="C4" s="3">
        <v>4</v>
      </c>
      <c r="D4" s="3">
        <v>6.5</v>
      </c>
      <c r="E4">
        <f t="shared" si="0"/>
        <v>12</v>
      </c>
      <c r="F4" s="6">
        <f t="shared" si="1"/>
        <v>0.54166666666666663</v>
      </c>
      <c r="G4" t="s">
        <v>14</v>
      </c>
      <c r="H4" s="4">
        <f t="shared" si="2"/>
        <v>33.75</v>
      </c>
      <c r="I4" s="5">
        <f t="shared" si="3"/>
        <v>219.375</v>
      </c>
      <c r="J4" s="5">
        <f t="shared" si="4"/>
        <v>73.125</v>
      </c>
      <c r="K4" s="1">
        <f>J4 / SUM(J1:J7)</f>
        <v>6.5669832289351374E-2</v>
      </c>
      <c r="L4" s="7">
        <f t="shared" si="5"/>
        <v>5.5</v>
      </c>
      <c r="M4" t="s">
        <v>24</v>
      </c>
    </row>
    <row r="5" spans="1:13" x14ac:dyDescent="0.3">
      <c r="A5" t="s">
        <v>63</v>
      </c>
      <c r="B5" s="2" t="s">
        <v>11</v>
      </c>
      <c r="C5" s="3">
        <v>4</v>
      </c>
      <c r="D5" s="3">
        <v>7</v>
      </c>
      <c r="E5">
        <f t="shared" si="0"/>
        <v>12</v>
      </c>
      <c r="F5" s="6">
        <f t="shared" si="1"/>
        <v>0.58333333333333337</v>
      </c>
      <c r="G5" t="s">
        <v>13</v>
      </c>
      <c r="H5" s="4">
        <f t="shared" si="2"/>
        <v>61.2</v>
      </c>
      <c r="I5" s="5">
        <f t="shared" si="3"/>
        <v>428.40000000000003</v>
      </c>
      <c r="J5" s="5">
        <f t="shared" si="4"/>
        <v>142.80000000000001</v>
      </c>
      <c r="K5" s="1">
        <f>J5 / SUM(J1:J14)</f>
        <v>6.142728093947606E-2</v>
      </c>
      <c r="L5" s="7">
        <f t="shared" si="5"/>
        <v>5</v>
      </c>
      <c r="M5" t="s">
        <v>24</v>
      </c>
    </row>
    <row r="6" spans="1:13" x14ac:dyDescent="0.3">
      <c r="A6" t="s">
        <v>75</v>
      </c>
      <c r="B6" s="2" t="s">
        <v>11</v>
      </c>
      <c r="C6" s="3">
        <v>4</v>
      </c>
      <c r="D6" s="3">
        <v>7</v>
      </c>
      <c r="E6">
        <f t="shared" si="0"/>
        <v>12</v>
      </c>
      <c r="F6" s="6">
        <f t="shared" si="1"/>
        <v>0.58333333333333337</v>
      </c>
      <c r="G6" t="s">
        <v>13</v>
      </c>
      <c r="H6" s="4">
        <f t="shared" si="2"/>
        <v>61.2</v>
      </c>
      <c r="I6" s="5">
        <f t="shared" si="3"/>
        <v>428.40000000000003</v>
      </c>
      <c r="J6" s="5">
        <f t="shared" si="4"/>
        <v>142.80000000000001</v>
      </c>
      <c r="K6" s="1">
        <f xml:space="preserve"> J6 / SUM(J1:J14)</f>
        <v>6.142728093947606E-2</v>
      </c>
      <c r="L6" s="7">
        <f t="shared" si="5"/>
        <v>5</v>
      </c>
      <c r="M6" t="s">
        <v>24</v>
      </c>
    </row>
    <row r="7" spans="1:13" x14ac:dyDescent="0.3">
      <c r="A7" t="s">
        <v>74</v>
      </c>
      <c r="B7" s="2" t="s">
        <v>11</v>
      </c>
      <c r="C7" s="3">
        <v>4</v>
      </c>
      <c r="D7" s="3">
        <v>9</v>
      </c>
      <c r="E7">
        <f t="shared" si="0"/>
        <v>12</v>
      </c>
      <c r="F7" s="6">
        <f t="shared" si="1"/>
        <v>0.75</v>
      </c>
      <c r="G7" t="s">
        <v>13</v>
      </c>
      <c r="H7" s="4">
        <f t="shared" si="2"/>
        <v>61.2</v>
      </c>
      <c r="I7" s="5">
        <f t="shared" si="3"/>
        <v>550.80000000000007</v>
      </c>
      <c r="J7" s="5">
        <f t="shared" si="4"/>
        <v>183.60000000000002</v>
      </c>
      <c r="K7" s="1">
        <f xml:space="preserve"> J7 / SUM(J1:J18)</f>
        <v>5.7518796992481212E-2</v>
      </c>
      <c r="L7" s="7">
        <f t="shared" si="5"/>
        <v>3</v>
      </c>
      <c r="M7" t="s">
        <v>24</v>
      </c>
    </row>
    <row r="8" spans="1:13" x14ac:dyDescent="0.3">
      <c r="A8" t="s">
        <v>64</v>
      </c>
      <c r="B8" s="2" t="s">
        <v>11</v>
      </c>
      <c r="C8" s="3">
        <v>4</v>
      </c>
      <c r="D8" s="3">
        <v>9</v>
      </c>
      <c r="E8">
        <f t="shared" si="0"/>
        <v>12</v>
      </c>
      <c r="F8" s="6">
        <f t="shared" si="1"/>
        <v>0.75</v>
      </c>
      <c r="G8" t="s">
        <v>13</v>
      </c>
      <c r="H8" s="4">
        <f t="shared" si="2"/>
        <v>61.2</v>
      </c>
      <c r="I8" s="5">
        <f t="shared" si="3"/>
        <v>550.80000000000007</v>
      </c>
      <c r="J8" s="5">
        <f t="shared" si="4"/>
        <v>183.60000000000002</v>
      </c>
      <c r="K8" s="1">
        <f>J8 / SUM(J1:J18)</f>
        <v>5.7518796992481212E-2</v>
      </c>
      <c r="L8" s="7">
        <f t="shared" si="5"/>
        <v>3</v>
      </c>
      <c r="M8" t="s">
        <v>24</v>
      </c>
    </row>
    <row r="9" spans="1:13" x14ac:dyDescent="0.3">
      <c r="A9" t="s">
        <v>65</v>
      </c>
      <c r="B9" s="2" t="s">
        <v>10</v>
      </c>
      <c r="C9" s="3">
        <v>4</v>
      </c>
      <c r="D9" s="3">
        <v>9</v>
      </c>
      <c r="E9">
        <f t="shared" si="0"/>
        <v>12</v>
      </c>
      <c r="F9" s="6">
        <f t="shared" si="1"/>
        <v>0.75</v>
      </c>
      <c r="G9" t="s">
        <v>14</v>
      </c>
      <c r="H9" s="4">
        <f t="shared" si="2"/>
        <v>33.75</v>
      </c>
      <c r="I9" s="5">
        <f t="shared" si="3"/>
        <v>303.75</v>
      </c>
      <c r="J9" s="5">
        <f t="shared" si="4"/>
        <v>101.25</v>
      </c>
      <c r="K9" s="1">
        <f>J9 / SUM(J1:J13)</f>
        <v>4.8207398943008135E-2</v>
      </c>
      <c r="L9" s="7">
        <f t="shared" si="5"/>
        <v>3</v>
      </c>
      <c r="M9" t="s">
        <v>24</v>
      </c>
    </row>
    <row r="10" spans="1:13" x14ac:dyDescent="0.3">
      <c r="A10" t="s">
        <v>66</v>
      </c>
      <c r="B10" s="2" t="s">
        <v>11</v>
      </c>
      <c r="C10" s="3">
        <v>2</v>
      </c>
      <c r="D10" s="3">
        <v>3</v>
      </c>
      <c r="E10">
        <f t="shared" si="0"/>
        <v>6</v>
      </c>
      <c r="F10" s="6">
        <f t="shared" si="1"/>
        <v>0.5</v>
      </c>
      <c r="G10" t="s">
        <v>14</v>
      </c>
      <c r="H10" s="4">
        <f t="shared" si="2"/>
        <v>33.75</v>
      </c>
      <c r="I10" s="5">
        <f t="shared" si="3"/>
        <v>101.25</v>
      </c>
      <c r="J10" s="5">
        <f t="shared" si="4"/>
        <v>33.75</v>
      </c>
      <c r="K10" s="1">
        <f>J10 / SUM(J1:J10)</f>
        <v>2.3566378633150038E-2</v>
      </c>
      <c r="L10" s="7">
        <f t="shared" si="5"/>
        <v>3</v>
      </c>
      <c r="M10" t="s">
        <v>25</v>
      </c>
    </row>
    <row r="11" spans="1:13" x14ac:dyDescent="0.3">
      <c r="A11" t="s">
        <v>67</v>
      </c>
      <c r="B11" s="2" t="s">
        <v>10</v>
      </c>
      <c r="C11" s="3">
        <v>4</v>
      </c>
      <c r="D11" s="3">
        <v>9.5</v>
      </c>
      <c r="E11">
        <f t="shared" si="0"/>
        <v>12</v>
      </c>
      <c r="F11" s="6">
        <f t="shared" si="1"/>
        <v>0.79166666666666663</v>
      </c>
      <c r="G11" t="s">
        <v>14</v>
      </c>
      <c r="H11" s="4">
        <f t="shared" si="2"/>
        <v>33.75</v>
      </c>
      <c r="I11" s="5">
        <f t="shared" si="3"/>
        <v>320.625</v>
      </c>
      <c r="J11" s="5">
        <f t="shared" si="4"/>
        <v>106.875</v>
      </c>
      <c r="K11" s="1">
        <f>J11 / SUM(J2:J17)</f>
        <v>3.6515990159901597E-2</v>
      </c>
      <c r="L11" s="7">
        <f t="shared" si="5"/>
        <v>2.5</v>
      </c>
      <c r="M11" t="s">
        <v>25</v>
      </c>
    </row>
    <row r="12" spans="1:13" x14ac:dyDescent="0.3">
      <c r="A12" t="s">
        <v>68</v>
      </c>
      <c r="B12" s="2" t="s">
        <v>10</v>
      </c>
      <c r="C12" s="3">
        <v>8</v>
      </c>
      <c r="D12" s="3">
        <v>22</v>
      </c>
      <c r="E12">
        <f t="shared" si="0"/>
        <v>24</v>
      </c>
      <c r="F12" s="6">
        <f t="shared" si="1"/>
        <v>0.91666666666666663</v>
      </c>
      <c r="G12" t="s">
        <v>13</v>
      </c>
      <c r="H12" s="4">
        <f t="shared" si="2"/>
        <v>61.2</v>
      </c>
      <c r="I12" s="5">
        <f t="shared" si="3"/>
        <v>1346.4</v>
      </c>
      <c r="J12" s="5">
        <f t="shared" si="4"/>
        <v>448.8</v>
      </c>
      <c r="K12" s="1">
        <f>J12 / SUM(J11:J28)</f>
        <v>0.24114446907112633</v>
      </c>
      <c r="L12" s="7">
        <f t="shared" si="5"/>
        <v>2</v>
      </c>
      <c r="M12" t="s">
        <v>23</v>
      </c>
    </row>
    <row r="13" spans="1:13" x14ac:dyDescent="0.3">
      <c r="A13" t="s">
        <v>5</v>
      </c>
      <c r="B13" s="2" t="s">
        <v>10</v>
      </c>
      <c r="C13" s="3">
        <v>4</v>
      </c>
      <c r="D13" s="3">
        <v>10</v>
      </c>
      <c r="E13">
        <f t="shared" si="0"/>
        <v>12</v>
      </c>
      <c r="F13" s="6">
        <f t="shared" si="1"/>
        <v>0.83333333333333337</v>
      </c>
      <c r="G13" t="s">
        <v>14</v>
      </c>
      <c r="H13" s="4">
        <f t="shared" si="2"/>
        <v>33.75</v>
      </c>
      <c r="I13" s="5">
        <f t="shared" si="3"/>
        <v>337.5</v>
      </c>
      <c r="J13" s="5">
        <f t="shared" si="4"/>
        <v>112.5</v>
      </c>
      <c r="K13" s="1">
        <f>J13 / SUM(J5:J20)</f>
        <v>4.2470058608680875E-2</v>
      </c>
      <c r="L13" s="7">
        <f t="shared" si="5"/>
        <v>2</v>
      </c>
      <c r="M13" t="s">
        <v>26</v>
      </c>
    </row>
    <row r="14" spans="1:13" x14ac:dyDescent="0.3">
      <c r="A14" t="s">
        <v>73</v>
      </c>
      <c r="B14" s="2" t="s">
        <v>11</v>
      </c>
      <c r="C14" s="3">
        <v>4</v>
      </c>
      <c r="D14" s="3">
        <v>11</v>
      </c>
      <c r="E14">
        <f t="shared" si="0"/>
        <v>12</v>
      </c>
      <c r="F14" s="6">
        <f t="shared" si="1"/>
        <v>0.91666666666666663</v>
      </c>
      <c r="G14" t="s">
        <v>13</v>
      </c>
      <c r="H14" s="4">
        <f t="shared" si="2"/>
        <v>61.2</v>
      </c>
      <c r="I14" s="5">
        <f t="shared" si="3"/>
        <v>673.2</v>
      </c>
      <c r="J14" s="5">
        <f t="shared" si="4"/>
        <v>224.4</v>
      </c>
      <c r="K14" s="1">
        <f>J14 / SUM(J10:J26)</f>
        <v>0.11842469819908966</v>
      </c>
      <c r="L14" s="7">
        <f t="shared" si="5"/>
        <v>1</v>
      </c>
      <c r="M14" t="s">
        <v>23</v>
      </c>
    </row>
    <row r="15" spans="1:13" x14ac:dyDescent="0.3">
      <c r="A15" t="s">
        <v>69</v>
      </c>
      <c r="B15" s="2" t="s">
        <v>11</v>
      </c>
      <c r="C15" s="3">
        <v>2</v>
      </c>
      <c r="D15" s="3">
        <v>5</v>
      </c>
      <c r="E15">
        <f t="shared" si="0"/>
        <v>6</v>
      </c>
      <c r="F15" s="6">
        <f t="shared" si="1"/>
        <v>0.83333333333333337</v>
      </c>
      <c r="G15" t="s">
        <v>14</v>
      </c>
      <c r="H15" s="4">
        <f t="shared" si="2"/>
        <v>33.75</v>
      </c>
      <c r="I15" s="5">
        <f t="shared" si="3"/>
        <v>168.75</v>
      </c>
      <c r="J15" s="5">
        <f t="shared" si="4"/>
        <v>56.25</v>
      </c>
      <c r="K15" s="1">
        <f xml:space="preserve"> J15 / SUM(J10:J17)</f>
        <v>3.6802590902399533E-2</v>
      </c>
      <c r="L15" s="7">
        <f t="shared" si="5"/>
        <v>1</v>
      </c>
      <c r="M15" t="s">
        <v>26</v>
      </c>
    </row>
    <row r="16" spans="1:13" x14ac:dyDescent="0.3">
      <c r="A16" t="s">
        <v>70</v>
      </c>
      <c r="B16" s="2" t="s">
        <v>11</v>
      </c>
      <c r="C16" s="3">
        <v>2</v>
      </c>
      <c r="D16" s="3">
        <v>5</v>
      </c>
      <c r="E16">
        <f t="shared" si="0"/>
        <v>6</v>
      </c>
      <c r="F16" s="6">
        <f t="shared" si="1"/>
        <v>0.83333333333333337</v>
      </c>
      <c r="G16" t="s">
        <v>14</v>
      </c>
      <c r="H16" s="4">
        <f t="shared" si="2"/>
        <v>33.75</v>
      </c>
      <c r="I16" s="5">
        <f t="shared" si="3"/>
        <v>168.75</v>
      </c>
      <c r="J16" s="5">
        <f t="shared" si="4"/>
        <v>56.25</v>
      </c>
      <c r="K16" s="1">
        <f>J16 / SUM(J10:J17)</f>
        <v>3.6802590902399533E-2</v>
      </c>
      <c r="L16" s="7">
        <f t="shared" si="5"/>
        <v>1</v>
      </c>
      <c r="M16" t="s">
        <v>26</v>
      </c>
    </row>
    <row r="17" spans="1:13" x14ac:dyDescent="0.3">
      <c r="A17" t="s">
        <v>7</v>
      </c>
      <c r="B17" s="2" t="s">
        <v>10</v>
      </c>
      <c r="C17" s="3">
        <v>8</v>
      </c>
      <c r="D17" s="3">
        <v>24</v>
      </c>
      <c r="E17">
        <f t="shared" si="0"/>
        <v>24</v>
      </c>
      <c r="F17" s="6">
        <f t="shared" si="1"/>
        <v>1</v>
      </c>
      <c r="G17" t="s">
        <v>13</v>
      </c>
      <c r="H17" s="4">
        <f t="shared" si="2"/>
        <v>61.2</v>
      </c>
      <c r="I17" s="5">
        <f t="shared" si="3"/>
        <v>1468.8000000000002</v>
      </c>
      <c r="J17" s="5">
        <f t="shared" si="4"/>
        <v>489.60000000000008</v>
      </c>
      <c r="K17" s="1">
        <f xml:space="preserve"> J17 / SUM(J17:J34)</f>
        <v>0.57192920974242167</v>
      </c>
      <c r="L17" s="7">
        <f t="shared" si="5"/>
        <v>0</v>
      </c>
      <c r="M17" t="s">
        <v>23</v>
      </c>
    </row>
    <row r="18" spans="1:13" x14ac:dyDescent="0.3">
      <c r="A18" t="s">
        <v>71</v>
      </c>
      <c r="B18" s="2" t="s">
        <v>11</v>
      </c>
      <c r="C18" s="3">
        <v>4</v>
      </c>
      <c r="D18" s="3">
        <v>13</v>
      </c>
      <c r="E18">
        <f t="shared" si="0"/>
        <v>12</v>
      </c>
      <c r="F18" s="6">
        <f t="shared" si="1"/>
        <v>1.0833333333333333</v>
      </c>
      <c r="G18" t="s">
        <v>13</v>
      </c>
      <c r="H18" s="4">
        <f t="shared" si="2"/>
        <v>61.2</v>
      </c>
      <c r="I18" s="5">
        <f t="shared" si="3"/>
        <v>795.6</v>
      </c>
      <c r="J18" s="5">
        <f t="shared" si="4"/>
        <v>265.2</v>
      </c>
      <c r="K18" s="1">
        <f xml:space="preserve"> J18 / SUM(J16:J32)</f>
        <v>0.29069385070700421</v>
      </c>
      <c r="L18" s="7">
        <f t="shared" si="5"/>
        <v>-1</v>
      </c>
      <c r="M18" t="s">
        <v>23</v>
      </c>
    </row>
    <row r="19" spans="1:13" x14ac:dyDescent="0.3">
      <c r="A19" t="s">
        <v>72</v>
      </c>
      <c r="B19" s="2" t="s">
        <v>11</v>
      </c>
      <c r="C19" s="3">
        <v>2</v>
      </c>
      <c r="D19" s="3">
        <v>9</v>
      </c>
      <c r="E19">
        <f t="shared" si="0"/>
        <v>6</v>
      </c>
      <c r="F19" s="6">
        <f t="shared" si="1"/>
        <v>1.5</v>
      </c>
      <c r="G19" t="s">
        <v>14</v>
      </c>
      <c r="H19" s="4">
        <f t="shared" si="2"/>
        <v>33.75</v>
      </c>
      <c r="I19" s="5">
        <f t="shared" si="3"/>
        <v>303.75</v>
      </c>
      <c r="J19" s="5">
        <f t="shared" si="4"/>
        <v>101.25</v>
      </c>
      <c r="K19" s="1">
        <f xml:space="preserve"> J19 / SUM(J18:J24)</f>
        <v>0.2762996316004912</v>
      </c>
      <c r="L19" s="7">
        <f t="shared" si="5"/>
        <v>-3</v>
      </c>
      <c r="M19" t="s">
        <v>23</v>
      </c>
    </row>
  </sheetData>
  <conditionalFormatting sqref="M2:M19">
    <cfRule type="containsText" dxfId="0" priority="5" operator="containsText" text="Opportunity">
      <formula>NOT(ISERROR(SEARCH("Opportunity",M2)))</formula>
    </cfRule>
  </conditionalFormatting>
  <dataValidations count="1">
    <dataValidation type="list" allowBlank="1" showInputMessage="1" showErrorMessage="1" sqref="M2:M19" xr:uid="{0AFF1845-7244-4F38-9774-CC9202E9292B}">
      <formula1>"Anchor, Opportunity, Low impact, Steady"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3748A70B-C77E-4095-94C9-ACB5DDB2739F}">
            <xm:f>NOT(ISERROR(SEARCH("Low impact",M2)))</xm:f>
            <xm:f>"Low impact"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2" operator="containsText" id="{FB4DD13D-1B71-4AC8-99D4-6409CE4E888F}">
            <xm:f>NOT(ISERROR(SEARCH("Steady",M2)))</xm:f>
            <xm:f>"Steady"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ontainsText" priority="3" operator="containsText" id="{A6671FE6-533E-4CED-8DA0-773B9D99715F}">
            <xm:f>NOT(ISERROR(SEARCH("Low impact",M2)))</xm:f>
            <xm:f>"Low impact"</xm:f>
            <x14:dxf>
              <border>
                <left style="thin">
                  <color rgb="FF9C0006"/>
                </left>
                <right style="thin">
                  <color rgb="FF9C0006"/>
                </right>
                <top style="thin">
                  <color rgb="FF9C0006"/>
                </top>
                <bottom style="thin">
                  <color rgb="FF9C0006"/>
                </bottom>
              </border>
            </x14:dxf>
          </x14:cfRule>
          <x14:cfRule type="containsText" priority="4" operator="containsText" id="{68F0A654-635C-4913-8C5B-981A5EAB45C9}">
            <xm:f>NOT(ISERROR(SEARCH("Anchor",M2)))</xm:f>
            <xm:f>"Anchor"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M2:M19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Clean_Data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Audrey Doyle</dc:creator>
  <cp:lastModifiedBy>Audrey Doyle</cp:lastModifiedBy>
  <dcterms:created xsi:type="dcterms:W3CDTF">2026-02-18T22:51:12Z</dcterms:created>
  <dcterms:modified xsi:type="dcterms:W3CDTF">2026-02-23T02:25:42Z</dcterms:modified>
</cp:coreProperties>
</file>